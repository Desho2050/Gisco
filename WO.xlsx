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sco\Desktop\WEB\"/>
    </mc:Choice>
  </mc:AlternateContent>
  <xr:revisionPtr revIDLastSave="0" documentId="13_ncr:1_{CD600826-785A-4E7D-859F-6401C97570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4" l="1"/>
  <c r="Y37" i="4"/>
  <c r="Y36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</calcChain>
</file>

<file path=xl/sharedStrings.xml><?xml version="1.0" encoding="utf-8"?>
<sst xmlns="http://schemas.openxmlformats.org/spreadsheetml/2006/main" count="233" uniqueCount="145">
  <si>
    <t>SN</t>
  </si>
  <si>
    <t>CAMP</t>
  </si>
  <si>
    <t>LOCATION</t>
  </si>
  <si>
    <t>FRIDGE</t>
  </si>
  <si>
    <t>FREEZER</t>
  </si>
  <si>
    <t>WORK ORDER AMOUNT</t>
  </si>
  <si>
    <t>START DATE</t>
  </si>
  <si>
    <t>END DATE</t>
  </si>
  <si>
    <t>REMAINING   DAYS</t>
  </si>
  <si>
    <t>WO</t>
  </si>
  <si>
    <t>1.5 TON</t>
  </si>
  <si>
    <t>2 TON</t>
  </si>
  <si>
    <t>2.5 TON</t>
  </si>
  <si>
    <t>3TON</t>
  </si>
  <si>
    <t>COOLER</t>
  </si>
  <si>
    <t>8 TON</t>
  </si>
  <si>
    <t>10 TON</t>
  </si>
  <si>
    <t>15 TON</t>
  </si>
  <si>
    <t>25 TON</t>
  </si>
  <si>
    <t>20 TON</t>
  </si>
  <si>
    <t>12 TON</t>
  </si>
  <si>
    <t>WO 01</t>
  </si>
  <si>
    <t>المنامة تدريب المستجدين</t>
  </si>
  <si>
    <t>المطبخ وغرف التحضير وقاعة الطعام</t>
  </si>
  <si>
    <t>PO2500005962</t>
  </si>
  <si>
    <t>Delivery Note</t>
  </si>
  <si>
    <t>امر العمل</t>
  </si>
  <si>
    <t>WO 02</t>
  </si>
  <si>
    <t>الحيل كتيبة 43</t>
  </si>
  <si>
    <t>سكن الضباط وسكن الافراد والمطبخ ومستودعات القيادة ومكتب الامن الجديد</t>
  </si>
  <si>
    <t>PO2500006949</t>
  </si>
  <si>
    <t>WO 03</t>
  </si>
  <si>
    <t>سيح البانة احتياط /6</t>
  </si>
  <si>
    <t>النادي المشترك و نادي المرتب</t>
  </si>
  <si>
    <t>PO2500007002</t>
  </si>
  <si>
    <t>WO 04</t>
  </si>
  <si>
    <t>مشارب المياة</t>
  </si>
  <si>
    <t>PO2500005775</t>
  </si>
  <si>
    <t>WO 05</t>
  </si>
  <si>
    <t>مبني الامن علي المدخل</t>
  </si>
  <si>
    <t>PO2500006869</t>
  </si>
  <si>
    <t>WO 06</t>
  </si>
  <si>
    <t>معسكر مسافي</t>
  </si>
  <si>
    <t>القوات البرية</t>
  </si>
  <si>
    <t>USED AC'S</t>
  </si>
  <si>
    <t>WO 07</t>
  </si>
  <si>
    <t>معسكر سيح البانة كتيبة 12</t>
  </si>
  <si>
    <t>القوات البرية( غرفة الحراسة للمستودعات و غرفة مستودع سلاح للبوابة</t>
  </si>
  <si>
    <t>PO2500007383</t>
  </si>
  <si>
    <t>WO 08</t>
  </si>
  <si>
    <t>ثوبان</t>
  </si>
  <si>
    <t>القاعات الدراسية</t>
  </si>
  <si>
    <t>PO2500007380</t>
  </si>
  <si>
    <t>WO 09</t>
  </si>
  <si>
    <t>قسم التجهيز</t>
  </si>
  <si>
    <t>PO2500007388</t>
  </si>
  <si>
    <t>WO 10</t>
  </si>
  <si>
    <t>نادي الدورات والعرفاء</t>
  </si>
  <si>
    <t>PO2500008336</t>
  </si>
  <si>
    <t>PO2500009349</t>
  </si>
  <si>
    <t>WO 11</t>
  </si>
  <si>
    <t>سيح البانة ك/ 12</t>
  </si>
  <si>
    <t xml:space="preserve">سكن الخدمة الوطنية </t>
  </si>
  <si>
    <t>PO2500008798</t>
  </si>
  <si>
    <t>WO 13</t>
  </si>
  <si>
    <t>بندرة الوكلاء (الاحتياط والخدمة الوطنية والانعاشية)</t>
  </si>
  <si>
    <t>WO 14</t>
  </si>
  <si>
    <t>مستودع العهدة</t>
  </si>
  <si>
    <t>WO 15</t>
  </si>
  <si>
    <t>مكاتب مركز التدريب (الاحتياط والخدمة الوطنية والانعاشية)</t>
  </si>
  <si>
    <t>WO 17</t>
  </si>
  <si>
    <t>المسجد</t>
  </si>
  <si>
    <t>WO 18</t>
  </si>
  <si>
    <t>صالة المسبح</t>
  </si>
  <si>
    <t>WO 20</t>
  </si>
  <si>
    <t>مبني رقم (88) سكن ضباط الصف</t>
  </si>
  <si>
    <t>PO2500008807</t>
  </si>
  <si>
    <t>WO 21</t>
  </si>
  <si>
    <t>مبني رقم (87)</t>
  </si>
  <si>
    <t>PO2500009070</t>
  </si>
  <si>
    <t>WO 22</t>
  </si>
  <si>
    <t>مبني رقم (89) سكن ضباط الصف</t>
  </si>
  <si>
    <t>PO2500008805</t>
  </si>
  <si>
    <t>WO 23</t>
  </si>
  <si>
    <t>مبني رقم (90)</t>
  </si>
  <si>
    <t>PO2500008818</t>
  </si>
  <si>
    <t>WO 24</t>
  </si>
  <si>
    <t>البوابة</t>
  </si>
  <si>
    <t>PO2500008813</t>
  </si>
  <si>
    <t>WO 25</t>
  </si>
  <si>
    <t>الجاهزية البدنية</t>
  </si>
  <si>
    <t>PO2500008816</t>
  </si>
  <si>
    <t>WO 26</t>
  </si>
  <si>
    <t>سيح البانة</t>
  </si>
  <si>
    <t>PO2500009073</t>
  </si>
  <si>
    <t>WO 27</t>
  </si>
  <si>
    <t>العيادة وكتيبة المجندين</t>
  </si>
  <si>
    <t>PO2500008801</t>
  </si>
  <si>
    <t>WO 29</t>
  </si>
  <si>
    <t>سيح البانة الاحتياط</t>
  </si>
  <si>
    <t>المطبخ</t>
  </si>
  <si>
    <t>WO 31</t>
  </si>
  <si>
    <t>مستودع الملابس</t>
  </si>
  <si>
    <t>WO 32</t>
  </si>
  <si>
    <t>WO 33</t>
  </si>
  <si>
    <t>خيمة (1) (2) (3)</t>
  </si>
  <si>
    <t>WO 34</t>
  </si>
  <si>
    <t>الحيل الاحتياط</t>
  </si>
  <si>
    <t>PO2500009069</t>
  </si>
  <si>
    <t>WO 36</t>
  </si>
  <si>
    <t>نادي الفجيرة للرماية</t>
  </si>
  <si>
    <t>مستودع معدات جديد</t>
  </si>
  <si>
    <t>PO2500007693</t>
  </si>
  <si>
    <t>WO 37</t>
  </si>
  <si>
    <t>الحيل كتيبة 73</t>
  </si>
  <si>
    <t>مستودع رقم 4</t>
  </si>
  <si>
    <t>WO 40</t>
  </si>
  <si>
    <t>جبل جبر</t>
  </si>
  <si>
    <t>غرفة السيرفر</t>
  </si>
  <si>
    <t>PO2500008809</t>
  </si>
  <si>
    <t>WO 42</t>
  </si>
  <si>
    <t>الحيل 73</t>
  </si>
  <si>
    <t>PO2500008803</t>
  </si>
  <si>
    <t>WO 44</t>
  </si>
  <si>
    <t>مستودع المطبخ الرئيسي</t>
  </si>
  <si>
    <t>PO2500013833</t>
  </si>
  <si>
    <t>WO 47</t>
  </si>
  <si>
    <t>الحيل 43</t>
  </si>
  <si>
    <t>صالة الطعام و سكن الخدمة الوطنية</t>
  </si>
  <si>
    <t>PO2500011890</t>
  </si>
  <si>
    <t>WO NO.</t>
  </si>
  <si>
    <t>used AC</t>
  </si>
  <si>
    <t>WO PERCENTAGE</t>
  </si>
  <si>
    <t>LPO</t>
  </si>
  <si>
    <t>DO</t>
  </si>
  <si>
    <t>COST</t>
  </si>
  <si>
    <t>2TON</t>
  </si>
  <si>
    <t>F 5TON</t>
  </si>
  <si>
    <t>F 8TON</t>
  </si>
  <si>
    <t>PO2500013176</t>
  </si>
  <si>
    <t>WO 43</t>
  </si>
  <si>
    <t>المنامة 32</t>
  </si>
  <si>
    <t>كتيبة 32 مباني متعددة</t>
  </si>
  <si>
    <t>REQ2500026220</t>
  </si>
  <si>
    <t>PO2500014884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</si>
</sst>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AED]\ #,##0.00;[Red][$AED]\ #,##0.00"/>
    <numFmt numFmtId="165" formatCode="[$AED-4C09]#,##0.00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49" fontId="0" fillId="0" borderId="1" xfId="0" applyNumberForma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vertical="center" wrapText="1" shrinkToFit="1"/>
      <protection locked="0"/>
    </xf>
    <xf numFmtId="0" fontId="8" fillId="9" borderId="1" xfId="1" applyFont="1" applyFill="1" applyBorder="1" applyAlignment="1" applyProtection="1">
      <alignment horizontal="center" vertical="center"/>
      <protection locked="0"/>
    </xf>
    <xf numFmtId="165" fontId="2" fillId="9" borderId="1" xfId="0" applyNumberFormat="1" applyFont="1" applyFill="1" applyBorder="1" applyAlignment="1" applyProtection="1">
      <alignment horizontal="center" vertical="center"/>
      <protection locked="0"/>
    </xf>
    <xf numFmtId="0" fontId="8" fillId="5" borderId="1" xfId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8" fillId="6" borderId="1" xfId="1" applyFont="1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8" fillId="10" borderId="1" xfId="1" applyFont="1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8" fillId="8" borderId="1" xfId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vertical="center" wrapText="1"/>
      <protection locked="0"/>
    </xf>
    <xf numFmtId="0" fontId="5" fillId="6" borderId="1" xfId="0" applyFont="1" applyFill="1" applyBorder="1" applyAlignment="1" applyProtection="1">
      <alignment wrapText="1"/>
      <protection locked="0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0" fontId="8" fillId="12" borderId="1" xfId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9"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3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2" tint="-0.4980315561387981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-0.49803155613879818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DOPO2500006869.pdf" TargetMode="External"/><Relationship Id="rId21" Type="http://schemas.openxmlformats.org/officeDocument/2006/relationships/hyperlink" Target="DOPO2500006949.pdf" TargetMode="External"/><Relationship Id="rId42" Type="http://schemas.openxmlformats.org/officeDocument/2006/relationships/hyperlink" Target="WO13.pdf" TargetMode="External"/><Relationship Id="rId47" Type="http://schemas.openxmlformats.org/officeDocument/2006/relationships/hyperlink" Target="WO20.pdf" TargetMode="External"/><Relationship Id="rId63" Type="http://schemas.openxmlformats.org/officeDocument/2006/relationships/hyperlink" Target="DOPO2500008807.pdf" TargetMode="External"/><Relationship Id="rId68" Type="http://schemas.openxmlformats.org/officeDocument/2006/relationships/hyperlink" Target="DOPO2500008818.pdf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PO2500008809.pdf" TargetMode="External"/><Relationship Id="rId11" Type="http://schemas.openxmlformats.org/officeDocument/2006/relationships/hyperlink" Target="PO2500008805.pdf" TargetMode="External"/><Relationship Id="rId32" Type="http://schemas.openxmlformats.org/officeDocument/2006/relationships/hyperlink" Target="WO02.pdf" TargetMode="External"/><Relationship Id="rId37" Type="http://schemas.openxmlformats.org/officeDocument/2006/relationships/hyperlink" Target="WO07.pdf" TargetMode="External"/><Relationship Id="rId53" Type="http://schemas.openxmlformats.org/officeDocument/2006/relationships/hyperlink" Target="WO26.pdf" TargetMode="External"/><Relationship Id="rId58" Type="http://schemas.openxmlformats.org/officeDocument/2006/relationships/hyperlink" Target="WO33.pdf" TargetMode="External"/><Relationship Id="rId74" Type="http://schemas.openxmlformats.org/officeDocument/2006/relationships/hyperlink" Target="PO2500011890.pdf" TargetMode="External"/><Relationship Id="rId79" Type="http://schemas.openxmlformats.org/officeDocument/2006/relationships/hyperlink" Target="WO42.pdf" TargetMode="External"/><Relationship Id="rId5" Type="http://schemas.openxmlformats.org/officeDocument/2006/relationships/hyperlink" Target="PO2500007383.pdf" TargetMode="External"/><Relationship Id="rId61" Type="http://schemas.openxmlformats.org/officeDocument/2006/relationships/hyperlink" Target="WO37.pdf" TargetMode="External"/><Relationship Id="rId82" Type="http://schemas.openxmlformats.org/officeDocument/2006/relationships/hyperlink" Target="WO42.pdf" TargetMode="External"/><Relationship Id="rId19" Type="http://schemas.openxmlformats.org/officeDocument/2006/relationships/hyperlink" Target="PO2500009073.pdf" TargetMode="External"/><Relationship Id="rId14" Type="http://schemas.openxmlformats.org/officeDocument/2006/relationships/hyperlink" Target="PO2500008816.pdf" TargetMode="External"/><Relationship Id="rId22" Type="http://schemas.openxmlformats.org/officeDocument/2006/relationships/hyperlink" Target="..\4378%20LPO\PO_PO2500009349_0.pdf" TargetMode="External"/><Relationship Id="rId27" Type="http://schemas.openxmlformats.org/officeDocument/2006/relationships/hyperlink" Target="DOPO2500007383.pdf" TargetMode="External"/><Relationship Id="rId30" Type="http://schemas.openxmlformats.org/officeDocument/2006/relationships/hyperlink" Target="DOPO2500007693.pdf" TargetMode="External"/><Relationship Id="rId35" Type="http://schemas.openxmlformats.org/officeDocument/2006/relationships/hyperlink" Target="WO05.pdf" TargetMode="External"/><Relationship Id="rId43" Type="http://schemas.openxmlformats.org/officeDocument/2006/relationships/hyperlink" Target="WO14.pdf" TargetMode="External"/><Relationship Id="rId48" Type="http://schemas.openxmlformats.org/officeDocument/2006/relationships/hyperlink" Target="WO21.pdf" TargetMode="External"/><Relationship Id="rId56" Type="http://schemas.openxmlformats.org/officeDocument/2006/relationships/hyperlink" Target="WO31.pdf" TargetMode="External"/><Relationship Id="rId64" Type="http://schemas.openxmlformats.org/officeDocument/2006/relationships/hyperlink" Target="DOPO2500008805.pdf" TargetMode="External"/><Relationship Id="rId69" Type="http://schemas.openxmlformats.org/officeDocument/2006/relationships/hyperlink" Target="DOPO2500008816.pdf" TargetMode="External"/><Relationship Id="rId77" Type="http://schemas.openxmlformats.org/officeDocument/2006/relationships/hyperlink" Target="PO2500008803.pdf" TargetMode="External"/><Relationship Id="rId8" Type="http://schemas.openxmlformats.org/officeDocument/2006/relationships/hyperlink" Target="PO2500008336.pdf" TargetMode="External"/><Relationship Id="rId51" Type="http://schemas.openxmlformats.org/officeDocument/2006/relationships/hyperlink" Target="WO24.pdf" TargetMode="External"/><Relationship Id="rId72" Type="http://schemas.openxmlformats.org/officeDocument/2006/relationships/hyperlink" Target="DOPO2500009073.pdf" TargetMode="External"/><Relationship Id="rId80" Type="http://schemas.openxmlformats.org/officeDocument/2006/relationships/hyperlink" Target="PO2500008803.pdf" TargetMode="External"/><Relationship Id="rId3" Type="http://schemas.openxmlformats.org/officeDocument/2006/relationships/hyperlink" Target="c/" TargetMode="External"/><Relationship Id="rId12" Type="http://schemas.openxmlformats.org/officeDocument/2006/relationships/hyperlink" Target="PO2500008818.pdf" TargetMode="External"/><Relationship Id="rId17" Type="http://schemas.openxmlformats.org/officeDocument/2006/relationships/hyperlink" Target="PO2500007693.pdf" TargetMode="External"/><Relationship Id="rId25" Type="http://schemas.openxmlformats.org/officeDocument/2006/relationships/hyperlink" Target="DOPO2500007380.pdf" TargetMode="External"/><Relationship Id="rId33" Type="http://schemas.openxmlformats.org/officeDocument/2006/relationships/hyperlink" Target="WO03.pdf" TargetMode="External"/><Relationship Id="rId38" Type="http://schemas.openxmlformats.org/officeDocument/2006/relationships/hyperlink" Target="WO08.pdf" TargetMode="External"/><Relationship Id="rId46" Type="http://schemas.openxmlformats.org/officeDocument/2006/relationships/hyperlink" Target="WO18.pdf" TargetMode="External"/><Relationship Id="rId59" Type="http://schemas.openxmlformats.org/officeDocument/2006/relationships/hyperlink" Target="WO34.pdf" TargetMode="External"/><Relationship Id="rId67" Type="http://schemas.openxmlformats.org/officeDocument/2006/relationships/hyperlink" Target="DOPO2500008798.pdf" TargetMode="External"/><Relationship Id="rId20" Type="http://schemas.openxmlformats.org/officeDocument/2006/relationships/hyperlink" Target="PO2500009070.pdf" TargetMode="External"/><Relationship Id="rId41" Type="http://schemas.openxmlformats.org/officeDocument/2006/relationships/hyperlink" Target="WO11.pdf" TargetMode="External"/><Relationship Id="rId54" Type="http://schemas.openxmlformats.org/officeDocument/2006/relationships/hyperlink" Target="WO27.pdf" TargetMode="External"/><Relationship Id="rId62" Type="http://schemas.openxmlformats.org/officeDocument/2006/relationships/hyperlink" Target="WO40.pdf" TargetMode="External"/><Relationship Id="rId70" Type="http://schemas.openxmlformats.org/officeDocument/2006/relationships/hyperlink" Target="DOPO2500009070.pdf" TargetMode="External"/><Relationship Id="rId75" Type="http://schemas.openxmlformats.org/officeDocument/2006/relationships/hyperlink" Target="WO47.pdf" TargetMode="External"/><Relationship Id="rId83" Type="http://schemas.openxmlformats.org/officeDocument/2006/relationships/hyperlink" Target="PO2500008803.pdf" TargetMode="External"/><Relationship Id="rId1" Type="http://schemas.openxmlformats.org/officeDocument/2006/relationships/hyperlink" Target="PO2500005962.pdf" TargetMode="External"/><Relationship Id="rId6" Type="http://schemas.openxmlformats.org/officeDocument/2006/relationships/hyperlink" Target="PO2500007380.pdf" TargetMode="External"/><Relationship Id="rId15" Type="http://schemas.openxmlformats.org/officeDocument/2006/relationships/hyperlink" Target="PO2500008801.pdf" TargetMode="External"/><Relationship Id="rId23" Type="http://schemas.openxmlformats.org/officeDocument/2006/relationships/hyperlink" Target="DOPO2500007388.pdf" TargetMode="External"/><Relationship Id="rId28" Type="http://schemas.openxmlformats.org/officeDocument/2006/relationships/hyperlink" Target="DOPO2500005962.pdf" TargetMode="External"/><Relationship Id="rId36" Type="http://schemas.openxmlformats.org/officeDocument/2006/relationships/hyperlink" Target="WO06.pdf" TargetMode="External"/><Relationship Id="rId49" Type="http://schemas.openxmlformats.org/officeDocument/2006/relationships/hyperlink" Target="WO22.pdf" TargetMode="External"/><Relationship Id="rId57" Type="http://schemas.openxmlformats.org/officeDocument/2006/relationships/hyperlink" Target="WO32.pdf" TargetMode="External"/><Relationship Id="rId10" Type="http://schemas.openxmlformats.org/officeDocument/2006/relationships/hyperlink" Target="PO2500008807.pdf" TargetMode="External"/><Relationship Id="rId31" Type="http://schemas.openxmlformats.org/officeDocument/2006/relationships/hyperlink" Target="WO01.pdf" TargetMode="External"/><Relationship Id="rId44" Type="http://schemas.openxmlformats.org/officeDocument/2006/relationships/hyperlink" Target="WO15.pdf" TargetMode="External"/><Relationship Id="rId52" Type="http://schemas.openxmlformats.org/officeDocument/2006/relationships/hyperlink" Target="WO25.pdf" TargetMode="External"/><Relationship Id="rId60" Type="http://schemas.openxmlformats.org/officeDocument/2006/relationships/hyperlink" Target="WO36.pdf" TargetMode="External"/><Relationship Id="rId65" Type="http://schemas.openxmlformats.org/officeDocument/2006/relationships/hyperlink" Target="DOPO2500008813.pdf" TargetMode="External"/><Relationship Id="rId73" Type="http://schemas.openxmlformats.org/officeDocument/2006/relationships/hyperlink" Target="DOPO2500009069.pdf" TargetMode="External"/><Relationship Id="rId78" Type="http://schemas.openxmlformats.org/officeDocument/2006/relationships/hyperlink" Target="WO44.pdf" TargetMode="External"/><Relationship Id="rId81" Type="http://schemas.openxmlformats.org/officeDocument/2006/relationships/hyperlink" Target="DOPO2500008803.pdf" TargetMode="External"/><Relationship Id="rId4" Type="http://schemas.openxmlformats.org/officeDocument/2006/relationships/hyperlink" Target="PO2500006869.pdf" TargetMode="External"/><Relationship Id="rId9" Type="http://schemas.openxmlformats.org/officeDocument/2006/relationships/hyperlink" Target="PO2500008798.pdf" TargetMode="External"/><Relationship Id="rId13" Type="http://schemas.openxmlformats.org/officeDocument/2006/relationships/hyperlink" Target="PO2500008813.pdf" TargetMode="External"/><Relationship Id="rId18" Type="http://schemas.openxmlformats.org/officeDocument/2006/relationships/hyperlink" Target="PO2500009069.pdf" TargetMode="External"/><Relationship Id="rId39" Type="http://schemas.openxmlformats.org/officeDocument/2006/relationships/hyperlink" Target="WO09.pdf" TargetMode="External"/><Relationship Id="rId34" Type="http://schemas.openxmlformats.org/officeDocument/2006/relationships/hyperlink" Target="WO04.pdf" TargetMode="External"/><Relationship Id="rId50" Type="http://schemas.openxmlformats.org/officeDocument/2006/relationships/hyperlink" Target="WO23.pdf" TargetMode="External"/><Relationship Id="rId55" Type="http://schemas.openxmlformats.org/officeDocument/2006/relationships/hyperlink" Target="WO29.pdf" TargetMode="External"/><Relationship Id="rId76" Type="http://schemas.openxmlformats.org/officeDocument/2006/relationships/hyperlink" Target="DOPO2500011890.pdf" TargetMode="External"/><Relationship Id="rId7" Type="http://schemas.openxmlformats.org/officeDocument/2006/relationships/hyperlink" Target="PO2500007388.pdf" TargetMode="External"/><Relationship Id="rId71" Type="http://schemas.openxmlformats.org/officeDocument/2006/relationships/hyperlink" Target="DOPO2500008801.pdf" TargetMode="External"/><Relationship Id="rId2" Type="http://schemas.openxmlformats.org/officeDocument/2006/relationships/hyperlink" Target="PO2500006949.pdf" TargetMode="External"/><Relationship Id="rId29" Type="http://schemas.openxmlformats.org/officeDocument/2006/relationships/hyperlink" Target="PO2500005775.pdf" TargetMode="External"/><Relationship Id="rId24" Type="http://schemas.openxmlformats.org/officeDocument/2006/relationships/hyperlink" Target="DOPO2500007002.pdf" TargetMode="External"/><Relationship Id="rId40" Type="http://schemas.openxmlformats.org/officeDocument/2006/relationships/hyperlink" Target="WO10.pdf" TargetMode="External"/><Relationship Id="rId45" Type="http://schemas.openxmlformats.org/officeDocument/2006/relationships/hyperlink" Target="WO17.pdf" TargetMode="External"/><Relationship Id="rId66" Type="http://schemas.openxmlformats.org/officeDocument/2006/relationships/hyperlink" Target="DOPO25000088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1845-8E0E-40DC-890C-1C16183EB04E}">
  <sheetPr>
    <pageSetUpPr fitToPage="1"/>
  </sheetPr>
  <dimension ref="A1:AD37"/>
  <sheetViews>
    <sheetView tabSelected="1" topLeftCell="A25" zoomScale="80" zoomScaleNormal="80" workbookViewId="0">
      <selection activeCell="AE32" sqref="AE32"/>
    </sheetView>
  </sheetViews>
  <sheetFormatPr defaultRowHeight="15" x14ac:dyDescent="0.25"/>
  <cols>
    <col min="1" max="2" width="6.42578125" customWidth="1"/>
    <col min="3" max="3" width="18.28515625" customWidth="1"/>
    <col min="4" max="4" width="27.140625" customWidth="1"/>
    <col min="5" max="21" width="6.42578125" customWidth="1"/>
    <col min="22" max="22" width="14.140625" customWidth="1"/>
    <col min="23" max="23" width="14.5703125" customWidth="1"/>
    <col min="24" max="24" width="14.85546875" customWidth="1"/>
    <col min="25" max="25" width="9" customWidth="1"/>
    <col min="26" max="26" width="10.85546875" customWidth="1"/>
    <col min="27" max="27" width="18.85546875" customWidth="1"/>
    <col min="28" max="28" width="12" customWidth="1"/>
    <col min="29" max="29" width="10.5703125" customWidth="1"/>
    <col min="30" max="30" width="16.7109375" customWidth="1"/>
  </cols>
  <sheetData>
    <row r="1" spans="1:30" ht="31.5" customHeight="1" x14ac:dyDescent="0.25">
      <c r="A1" s="19" t="s">
        <v>0</v>
      </c>
      <c r="B1" s="20" t="s">
        <v>130</v>
      </c>
      <c r="C1" s="21" t="s">
        <v>1</v>
      </c>
      <c r="D1" s="21" t="s">
        <v>2</v>
      </c>
      <c r="E1" s="22" t="s">
        <v>10</v>
      </c>
      <c r="F1" s="22" t="s">
        <v>11</v>
      </c>
      <c r="G1" s="22" t="s">
        <v>12</v>
      </c>
      <c r="H1" s="22" t="s">
        <v>13</v>
      </c>
      <c r="I1" s="23" t="s">
        <v>136</v>
      </c>
      <c r="J1" s="24" t="s">
        <v>14</v>
      </c>
      <c r="K1" s="24" t="s">
        <v>131</v>
      </c>
      <c r="L1" s="25" t="s">
        <v>3</v>
      </c>
      <c r="M1" s="26" t="s">
        <v>4</v>
      </c>
      <c r="N1" s="27" t="s">
        <v>15</v>
      </c>
      <c r="O1" s="27" t="s">
        <v>16</v>
      </c>
      <c r="P1" s="27" t="s">
        <v>17</v>
      </c>
      <c r="Q1" s="27" t="s">
        <v>18</v>
      </c>
      <c r="R1" s="27" t="s">
        <v>19</v>
      </c>
      <c r="S1" s="27" t="s">
        <v>20</v>
      </c>
      <c r="T1" s="28" t="s">
        <v>137</v>
      </c>
      <c r="U1" s="28" t="s">
        <v>138</v>
      </c>
      <c r="V1" s="29" t="s">
        <v>5</v>
      </c>
      <c r="W1" s="30" t="s">
        <v>6</v>
      </c>
      <c r="X1" s="31" t="s">
        <v>7</v>
      </c>
      <c r="Y1" s="32" t="s">
        <v>8</v>
      </c>
      <c r="Z1" s="33" t="s">
        <v>132</v>
      </c>
      <c r="AA1" s="18" t="s">
        <v>133</v>
      </c>
      <c r="AB1" s="18" t="s">
        <v>134</v>
      </c>
      <c r="AC1" s="18" t="s">
        <v>9</v>
      </c>
      <c r="AD1" s="18" t="s">
        <v>135</v>
      </c>
    </row>
    <row r="2" spans="1:30" ht="31.5" customHeight="1" x14ac:dyDescent="0.25">
      <c r="A2" s="3">
        <v>1</v>
      </c>
      <c r="B2" s="1" t="s">
        <v>21</v>
      </c>
      <c r="C2" s="7" t="s">
        <v>22</v>
      </c>
      <c r="D2" s="8" t="s">
        <v>23</v>
      </c>
      <c r="E2" s="2"/>
      <c r="F2" s="2"/>
      <c r="G2" s="2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>
        <v>47628</v>
      </c>
      <c r="W2" s="38">
        <v>45803</v>
      </c>
      <c r="X2" s="38">
        <v>45833</v>
      </c>
      <c r="Y2" s="3">
        <f t="shared" ref="Y2:Y37" ca="1" si="0">IF(X2-TODAY()&gt;0,X2-TODAY(),0)</f>
        <v>0</v>
      </c>
      <c r="Z2" s="6">
        <v>1</v>
      </c>
      <c r="AA2" s="9" t="s">
        <v>24</v>
      </c>
      <c r="AB2" s="9" t="s">
        <v>25</v>
      </c>
      <c r="AC2" s="9" t="s">
        <v>26</v>
      </c>
      <c r="AD2" s="10">
        <v>33885</v>
      </c>
    </row>
    <row r="3" spans="1:30" ht="31.5" customHeight="1" x14ac:dyDescent="0.25">
      <c r="A3" s="3">
        <v>2</v>
      </c>
      <c r="B3" s="1" t="s">
        <v>27</v>
      </c>
      <c r="C3" s="7" t="s">
        <v>28</v>
      </c>
      <c r="D3" s="8" t="s">
        <v>29</v>
      </c>
      <c r="E3" s="2"/>
      <c r="F3" s="2">
        <v>18</v>
      </c>
      <c r="G3" s="2"/>
      <c r="H3" s="2"/>
      <c r="I3" s="2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">
        <v>96228</v>
      </c>
      <c r="W3" s="38">
        <v>45812</v>
      </c>
      <c r="X3" s="38">
        <v>45872</v>
      </c>
      <c r="Y3" s="3">
        <f t="shared" ca="1" si="0"/>
        <v>0</v>
      </c>
      <c r="Z3" s="6">
        <v>1</v>
      </c>
      <c r="AA3" s="9" t="s">
        <v>30</v>
      </c>
      <c r="AB3" s="9" t="s">
        <v>25</v>
      </c>
      <c r="AC3" s="9" t="s">
        <v>26</v>
      </c>
      <c r="AD3" s="10">
        <v>49050</v>
      </c>
    </row>
    <row r="4" spans="1:30" ht="31.5" customHeight="1" x14ac:dyDescent="0.25">
      <c r="A4" s="3">
        <v>3</v>
      </c>
      <c r="B4" s="1" t="s">
        <v>31</v>
      </c>
      <c r="C4" s="7" t="s">
        <v>32</v>
      </c>
      <c r="D4" s="8" t="s">
        <v>33</v>
      </c>
      <c r="E4" s="2"/>
      <c r="F4" s="2"/>
      <c r="G4" s="2"/>
      <c r="H4" s="2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>
        <v>52704</v>
      </c>
      <c r="W4" s="38">
        <v>45812</v>
      </c>
      <c r="X4" s="38">
        <v>45872</v>
      </c>
      <c r="Y4" s="3">
        <f t="shared" ca="1" si="0"/>
        <v>0</v>
      </c>
      <c r="Z4" s="6">
        <v>1</v>
      </c>
      <c r="AA4" s="9" t="s">
        <v>34</v>
      </c>
      <c r="AB4" s="9" t="s">
        <v>25</v>
      </c>
      <c r="AC4" s="9" t="s">
        <v>26</v>
      </c>
      <c r="AD4" s="10">
        <v>41880</v>
      </c>
    </row>
    <row r="5" spans="1:30" ht="31.5" customHeight="1" x14ac:dyDescent="0.25">
      <c r="A5" s="3">
        <v>4</v>
      </c>
      <c r="B5" s="1" t="s">
        <v>35</v>
      </c>
      <c r="C5" s="7" t="s">
        <v>22</v>
      </c>
      <c r="D5" s="8" t="s">
        <v>36</v>
      </c>
      <c r="E5" s="2"/>
      <c r="F5" s="2"/>
      <c r="G5" s="2"/>
      <c r="H5" s="2"/>
      <c r="I5" s="2"/>
      <c r="J5" s="2">
        <v>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5">
        <v>30510</v>
      </c>
      <c r="W5" s="38">
        <v>45821</v>
      </c>
      <c r="X5" s="38">
        <v>45850</v>
      </c>
      <c r="Y5" s="3">
        <f t="shared" ca="1" si="0"/>
        <v>0</v>
      </c>
      <c r="Z5" s="6">
        <v>1</v>
      </c>
      <c r="AA5" s="11" t="s">
        <v>37</v>
      </c>
      <c r="AB5" s="34"/>
      <c r="AC5" s="11" t="s">
        <v>26</v>
      </c>
      <c r="AD5" s="12"/>
    </row>
    <row r="6" spans="1:30" ht="31.5" customHeight="1" x14ac:dyDescent="0.25">
      <c r="A6" s="3">
        <v>5</v>
      </c>
      <c r="B6" s="1" t="s">
        <v>38</v>
      </c>
      <c r="C6" s="7" t="s">
        <v>22</v>
      </c>
      <c r="D6" s="8" t="s">
        <v>39</v>
      </c>
      <c r="E6" s="2"/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5">
        <v>4104</v>
      </c>
      <c r="W6" s="38">
        <v>45817</v>
      </c>
      <c r="X6" s="38">
        <v>45877</v>
      </c>
      <c r="Y6" s="3">
        <f t="shared" ca="1" si="0"/>
        <v>0</v>
      </c>
      <c r="Z6" s="6">
        <v>1</v>
      </c>
      <c r="AA6" s="9" t="s">
        <v>40</v>
      </c>
      <c r="AB6" s="9" t="s">
        <v>25</v>
      </c>
      <c r="AC6" s="9" t="s">
        <v>26</v>
      </c>
      <c r="AD6" s="10">
        <v>2725</v>
      </c>
    </row>
    <row r="7" spans="1:30" ht="31.5" customHeight="1" x14ac:dyDescent="0.25">
      <c r="A7" s="3">
        <v>6</v>
      </c>
      <c r="B7" s="1" t="s">
        <v>41</v>
      </c>
      <c r="C7" s="7" t="s">
        <v>42</v>
      </c>
      <c r="D7" s="8" t="s">
        <v>43</v>
      </c>
      <c r="E7" s="2"/>
      <c r="F7" s="2"/>
      <c r="G7" s="2"/>
      <c r="H7" s="2"/>
      <c r="I7" s="2"/>
      <c r="J7" s="2"/>
      <c r="K7" s="2">
        <v>4</v>
      </c>
      <c r="L7" s="2"/>
      <c r="M7" s="2"/>
      <c r="N7" s="2"/>
      <c r="O7" s="2"/>
      <c r="P7" s="2"/>
      <c r="Q7" s="2"/>
      <c r="R7" s="2"/>
      <c r="S7" s="2"/>
      <c r="T7" s="2"/>
      <c r="U7" s="2"/>
      <c r="V7" s="5">
        <v>2592</v>
      </c>
      <c r="W7" s="38">
        <v>45817</v>
      </c>
      <c r="X7" s="38">
        <v>45877</v>
      </c>
      <c r="Y7" s="3">
        <f t="shared" ca="1" si="0"/>
        <v>0</v>
      </c>
      <c r="Z7" s="6">
        <v>1</v>
      </c>
      <c r="AA7" s="34" t="s">
        <v>44</v>
      </c>
      <c r="AB7" s="34" t="s">
        <v>44</v>
      </c>
      <c r="AC7" s="11" t="s">
        <v>26</v>
      </c>
      <c r="AD7" s="12"/>
    </row>
    <row r="8" spans="1:30" ht="31.5" customHeight="1" x14ac:dyDescent="0.25">
      <c r="A8" s="3">
        <v>7</v>
      </c>
      <c r="B8" s="1" t="s">
        <v>45</v>
      </c>
      <c r="C8" s="7" t="s">
        <v>46</v>
      </c>
      <c r="D8" s="8" t="s">
        <v>47</v>
      </c>
      <c r="E8" s="2">
        <v>1</v>
      </c>
      <c r="F8" s="2">
        <v>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5">
        <v>7776</v>
      </c>
      <c r="W8" s="38">
        <v>45826</v>
      </c>
      <c r="X8" s="38">
        <v>45886</v>
      </c>
      <c r="Y8" s="3">
        <f t="shared" ca="1" si="0"/>
        <v>0</v>
      </c>
      <c r="Z8" s="6">
        <v>1</v>
      </c>
      <c r="AA8" s="9" t="s">
        <v>48</v>
      </c>
      <c r="AB8" s="9" t="s">
        <v>25</v>
      </c>
      <c r="AC8" s="9" t="s">
        <v>26</v>
      </c>
      <c r="AD8" s="10">
        <v>5060</v>
      </c>
    </row>
    <row r="9" spans="1:30" ht="31.5" customHeight="1" x14ac:dyDescent="0.25">
      <c r="A9" s="3">
        <v>8</v>
      </c>
      <c r="B9" s="1" t="s">
        <v>49</v>
      </c>
      <c r="C9" s="7" t="s">
        <v>50</v>
      </c>
      <c r="D9" s="8" t="s">
        <v>51</v>
      </c>
      <c r="E9" s="2"/>
      <c r="F9" s="2"/>
      <c r="G9" s="2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5">
        <v>52920</v>
      </c>
      <c r="W9" s="38">
        <v>45833</v>
      </c>
      <c r="X9" s="38">
        <v>45893</v>
      </c>
      <c r="Y9" s="3">
        <f t="shared" ca="1" si="0"/>
        <v>0</v>
      </c>
      <c r="Z9" s="6">
        <v>1</v>
      </c>
      <c r="AA9" s="9" t="s">
        <v>52</v>
      </c>
      <c r="AB9" s="9" t="s">
        <v>25</v>
      </c>
      <c r="AC9" s="9" t="s">
        <v>26</v>
      </c>
      <c r="AD9" s="10">
        <v>37650</v>
      </c>
    </row>
    <row r="10" spans="1:30" ht="31.5" customHeight="1" x14ac:dyDescent="0.25">
      <c r="A10" s="3">
        <v>9</v>
      </c>
      <c r="B10" s="1" t="s">
        <v>53</v>
      </c>
      <c r="C10" s="7" t="s">
        <v>50</v>
      </c>
      <c r="D10" s="8" t="s">
        <v>54</v>
      </c>
      <c r="E10" s="2"/>
      <c r="F10" s="2"/>
      <c r="G10" s="2"/>
      <c r="H10" s="2">
        <v>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">
        <v>26352</v>
      </c>
      <c r="W10" s="38">
        <v>45833</v>
      </c>
      <c r="X10" s="38">
        <v>45893</v>
      </c>
      <c r="Y10" s="3">
        <f t="shared" ca="1" si="0"/>
        <v>0</v>
      </c>
      <c r="Z10" s="6">
        <v>1</v>
      </c>
      <c r="AA10" s="9" t="s">
        <v>55</v>
      </c>
      <c r="AB10" s="9" t="s">
        <v>25</v>
      </c>
      <c r="AC10" s="9" t="s">
        <v>26</v>
      </c>
      <c r="AD10" s="10">
        <v>20940</v>
      </c>
    </row>
    <row r="11" spans="1:30" ht="31.5" customHeight="1" x14ac:dyDescent="0.25">
      <c r="A11" s="3">
        <v>10</v>
      </c>
      <c r="B11" s="1" t="s">
        <v>56</v>
      </c>
      <c r="C11" s="7" t="s">
        <v>22</v>
      </c>
      <c r="D11" s="8" t="s">
        <v>57</v>
      </c>
      <c r="E11" s="2"/>
      <c r="F11" s="2"/>
      <c r="G11" s="2"/>
      <c r="H11" s="2"/>
      <c r="I11" s="2"/>
      <c r="J11" s="2"/>
      <c r="K11" s="2"/>
      <c r="L11" s="2">
        <v>2</v>
      </c>
      <c r="M11" s="2">
        <v>2</v>
      </c>
      <c r="N11" s="2"/>
      <c r="O11" s="2"/>
      <c r="P11" s="2"/>
      <c r="Q11" s="2"/>
      <c r="R11" s="2"/>
      <c r="S11" s="2"/>
      <c r="T11" s="2"/>
      <c r="U11" s="2"/>
      <c r="V11" s="5">
        <v>77760</v>
      </c>
      <c r="W11" s="38">
        <v>45845</v>
      </c>
      <c r="X11" s="38">
        <v>45906</v>
      </c>
      <c r="Y11" s="3">
        <f t="shared" ca="1" si="0"/>
        <v>0</v>
      </c>
      <c r="Z11" s="6">
        <v>1</v>
      </c>
      <c r="AA11" s="13" t="s">
        <v>58</v>
      </c>
      <c r="AB11" s="13" t="s">
        <v>59</v>
      </c>
      <c r="AC11" s="13" t="s">
        <v>26</v>
      </c>
      <c r="AD11" s="14"/>
    </row>
    <row r="12" spans="1:30" ht="31.5" customHeight="1" x14ac:dyDescent="0.25">
      <c r="A12" s="3">
        <v>11</v>
      </c>
      <c r="B12" s="1" t="s">
        <v>60</v>
      </c>
      <c r="C12" s="7" t="s">
        <v>61</v>
      </c>
      <c r="D12" s="8" t="s">
        <v>62</v>
      </c>
      <c r="E12" s="2"/>
      <c r="F12" s="2"/>
      <c r="G12" s="2">
        <v>16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>
        <v>84672</v>
      </c>
      <c r="W12" s="38">
        <v>45875</v>
      </c>
      <c r="X12" s="38">
        <v>45937</v>
      </c>
      <c r="Y12" s="3">
        <f t="shared" ca="1" si="0"/>
        <v>0</v>
      </c>
      <c r="Z12" s="6">
        <v>1</v>
      </c>
      <c r="AA12" s="9" t="s">
        <v>63</v>
      </c>
      <c r="AB12" s="9" t="s">
        <v>25</v>
      </c>
      <c r="AC12" s="9" t="s">
        <v>26</v>
      </c>
      <c r="AD12" s="10">
        <v>59520</v>
      </c>
    </row>
    <row r="13" spans="1:30" ht="31.5" customHeight="1" x14ac:dyDescent="0.25">
      <c r="A13" s="3">
        <v>12</v>
      </c>
      <c r="B13" s="1" t="s">
        <v>64</v>
      </c>
      <c r="C13" s="7" t="s">
        <v>22</v>
      </c>
      <c r="D13" s="8" t="s">
        <v>65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>
        <v>2</v>
      </c>
      <c r="T13" s="2"/>
      <c r="U13" s="2"/>
      <c r="V13" s="5">
        <v>54000</v>
      </c>
      <c r="W13" s="38">
        <v>45859</v>
      </c>
      <c r="X13" s="38">
        <v>46073</v>
      </c>
      <c r="Y13" s="3">
        <f t="shared" ca="1" si="0"/>
        <v>85</v>
      </c>
      <c r="Z13" s="6">
        <v>0</v>
      </c>
      <c r="AA13" s="35" t="s">
        <v>139</v>
      </c>
      <c r="AB13" s="35"/>
      <c r="AC13" s="15" t="s">
        <v>26</v>
      </c>
      <c r="AD13" s="16"/>
    </row>
    <row r="14" spans="1:30" ht="31.5" customHeight="1" x14ac:dyDescent="0.25">
      <c r="A14" s="3">
        <v>13</v>
      </c>
      <c r="B14" s="1" t="s">
        <v>66</v>
      </c>
      <c r="C14" s="7" t="s">
        <v>22</v>
      </c>
      <c r="D14" s="8" t="s">
        <v>67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5</v>
      </c>
      <c r="R14" s="2"/>
      <c r="S14" s="2"/>
      <c r="T14" s="2"/>
      <c r="U14" s="2"/>
      <c r="V14" s="5">
        <v>297000</v>
      </c>
      <c r="W14" s="38">
        <v>45859</v>
      </c>
      <c r="X14" s="38">
        <v>46073</v>
      </c>
      <c r="Y14" s="3">
        <f t="shared" ca="1" si="0"/>
        <v>85</v>
      </c>
      <c r="Z14" s="6">
        <v>0</v>
      </c>
      <c r="AA14" s="35" t="s">
        <v>139</v>
      </c>
      <c r="AB14" s="35"/>
      <c r="AC14" s="15" t="s">
        <v>26</v>
      </c>
      <c r="AD14" s="16"/>
    </row>
    <row r="15" spans="1:30" ht="31.5" customHeight="1" x14ac:dyDescent="0.25">
      <c r="A15" s="3">
        <v>14</v>
      </c>
      <c r="B15" s="1" t="s">
        <v>68</v>
      </c>
      <c r="C15" s="7" t="s">
        <v>22</v>
      </c>
      <c r="D15" s="8" t="s">
        <v>69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2</v>
      </c>
      <c r="R15" s="2"/>
      <c r="S15" s="2"/>
      <c r="T15" s="2"/>
      <c r="U15" s="2"/>
      <c r="V15" s="5">
        <v>118800</v>
      </c>
      <c r="W15" s="38">
        <v>45859</v>
      </c>
      <c r="X15" s="38">
        <v>46055</v>
      </c>
      <c r="Y15" s="3">
        <f t="shared" ca="1" si="0"/>
        <v>67</v>
      </c>
      <c r="Z15" s="6">
        <v>0</v>
      </c>
      <c r="AA15" s="35" t="s">
        <v>139</v>
      </c>
      <c r="AB15" s="35"/>
      <c r="AC15" s="15" t="s">
        <v>26</v>
      </c>
      <c r="AD15" s="16"/>
    </row>
    <row r="16" spans="1:30" ht="31.5" customHeight="1" x14ac:dyDescent="0.25">
      <c r="A16" s="3">
        <v>15</v>
      </c>
      <c r="B16" s="1" t="s">
        <v>70</v>
      </c>
      <c r="C16" s="7" t="s">
        <v>22</v>
      </c>
      <c r="D16" s="8" t="s">
        <v>71</v>
      </c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5">
        <v>23760</v>
      </c>
      <c r="W16" s="38">
        <v>45859</v>
      </c>
      <c r="X16" s="38">
        <v>46055</v>
      </c>
      <c r="Y16" s="3">
        <f t="shared" ca="1" si="0"/>
        <v>67</v>
      </c>
      <c r="Z16" s="6">
        <v>0</v>
      </c>
      <c r="AA16" s="35" t="s">
        <v>139</v>
      </c>
      <c r="AB16" s="35"/>
      <c r="AC16" s="15" t="s">
        <v>26</v>
      </c>
      <c r="AD16" s="16"/>
    </row>
    <row r="17" spans="1:30" ht="31.5" customHeight="1" x14ac:dyDescent="0.25">
      <c r="A17" s="3">
        <v>16</v>
      </c>
      <c r="B17" s="1" t="s">
        <v>72</v>
      </c>
      <c r="C17" s="7" t="s">
        <v>22</v>
      </c>
      <c r="D17" s="8" t="s">
        <v>73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>
        <v>1</v>
      </c>
      <c r="S17" s="2"/>
      <c r="T17" s="2"/>
      <c r="U17" s="2"/>
      <c r="V17" s="5">
        <v>68040</v>
      </c>
      <c r="W17" s="38">
        <v>45866</v>
      </c>
      <c r="X17" s="38">
        <v>46139</v>
      </c>
      <c r="Y17" s="3">
        <f t="shared" ca="1" si="0"/>
        <v>151</v>
      </c>
      <c r="Z17" s="6">
        <v>0</v>
      </c>
      <c r="AA17" s="35" t="s">
        <v>139</v>
      </c>
      <c r="AB17" s="35"/>
      <c r="AC17" s="15" t="s">
        <v>26</v>
      </c>
      <c r="AD17" s="16"/>
    </row>
    <row r="18" spans="1:30" ht="31.5" customHeight="1" x14ac:dyDescent="0.25">
      <c r="A18" s="3">
        <v>17</v>
      </c>
      <c r="B18" s="1" t="s">
        <v>74</v>
      </c>
      <c r="C18" s="7" t="s">
        <v>22</v>
      </c>
      <c r="D18" s="8" t="s">
        <v>75</v>
      </c>
      <c r="E18" s="2"/>
      <c r="F18" s="2">
        <v>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>
        <v>61560</v>
      </c>
      <c r="W18" s="38">
        <v>45870</v>
      </c>
      <c r="X18" s="38">
        <v>46053</v>
      </c>
      <c r="Y18" s="3">
        <f t="shared" ca="1" si="0"/>
        <v>65</v>
      </c>
      <c r="Z18" s="6">
        <v>0.8</v>
      </c>
      <c r="AA18" s="9" t="s">
        <v>76</v>
      </c>
      <c r="AB18" s="9" t="s">
        <v>25</v>
      </c>
      <c r="AC18" s="9" t="s">
        <v>26</v>
      </c>
      <c r="AD18" s="10">
        <v>40275</v>
      </c>
    </row>
    <row r="19" spans="1:30" ht="31.5" customHeight="1" x14ac:dyDescent="0.25">
      <c r="A19" s="3">
        <v>18</v>
      </c>
      <c r="B19" s="1" t="s">
        <v>77</v>
      </c>
      <c r="C19" s="7" t="s">
        <v>22</v>
      </c>
      <c r="D19" s="8" t="s">
        <v>78</v>
      </c>
      <c r="E19" s="2"/>
      <c r="F19" s="2">
        <v>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5">
        <v>73872</v>
      </c>
      <c r="W19" s="38">
        <v>45859</v>
      </c>
      <c r="X19" s="38">
        <v>46042</v>
      </c>
      <c r="Y19" s="3">
        <f t="shared" ca="1" si="0"/>
        <v>54</v>
      </c>
      <c r="Z19" s="6">
        <v>0.25</v>
      </c>
      <c r="AA19" s="9" t="s">
        <v>79</v>
      </c>
      <c r="AB19" s="9" t="s">
        <v>25</v>
      </c>
      <c r="AC19" s="9" t="s">
        <v>26</v>
      </c>
      <c r="AD19" s="10">
        <v>48330</v>
      </c>
    </row>
    <row r="20" spans="1:30" ht="31.5" customHeight="1" x14ac:dyDescent="0.25">
      <c r="A20" s="3">
        <v>19</v>
      </c>
      <c r="B20" s="1" t="s">
        <v>80</v>
      </c>
      <c r="C20" s="7" t="s">
        <v>22</v>
      </c>
      <c r="D20" s="8" t="s">
        <v>81</v>
      </c>
      <c r="E20" s="2"/>
      <c r="F20" s="2">
        <v>12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4"/>
      <c r="R20" s="2"/>
      <c r="S20" s="2"/>
      <c r="T20" s="2"/>
      <c r="U20" s="2"/>
      <c r="V20" s="5">
        <v>49248</v>
      </c>
      <c r="W20" s="38">
        <v>45870</v>
      </c>
      <c r="X20" s="38">
        <v>46053</v>
      </c>
      <c r="Y20" s="3">
        <f t="shared" ca="1" si="0"/>
        <v>65</v>
      </c>
      <c r="Z20" s="6">
        <v>0.75</v>
      </c>
      <c r="AA20" s="9" t="s">
        <v>82</v>
      </c>
      <c r="AB20" s="9" t="s">
        <v>25</v>
      </c>
      <c r="AC20" s="9" t="s">
        <v>26</v>
      </c>
      <c r="AD20" s="10">
        <v>32220</v>
      </c>
    </row>
    <row r="21" spans="1:30" ht="31.5" customHeight="1" x14ac:dyDescent="0.25">
      <c r="A21" s="3">
        <v>20</v>
      </c>
      <c r="B21" s="1" t="s">
        <v>83</v>
      </c>
      <c r="C21" s="7" t="s">
        <v>22</v>
      </c>
      <c r="D21" s="8" t="s">
        <v>84</v>
      </c>
      <c r="E21" s="2"/>
      <c r="F21" s="2"/>
      <c r="G21" s="2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5">
        <v>105840</v>
      </c>
      <c r="W21" s="38">
        <v>45859</v>
      </c>
      <c r="X21" s="38">
        <v>46042</v>
      </c>
      <c r="Y21" s="3">
        <f t="shared" ca="1" si="0"/>
        <v>54</v>
      </c>
      <c r="Z21" s="6">
        <v>0.75</v>
      </c>
      <c r="AA21" s="9" t="s">
        <v>85</v>
      </c>
      <c r="AB21" s="9" t="s">
        <v>25</v>
      </c>
      <c r="AC21" s="9" t="s">
        <v>26</v>
      </c>
      <c r="AD21" s="10">
        <v>74400</v>
      </c>
    </row>
    <row r="22" spans="1:30" ht="31.5" customHeight="1" x14ac:dyDescent="0.25">
      <c r="A22" s="3">
        <v>21</v>
      </c>
      <c r="B22" s="1" t="s">
        <v>86</v>
      </c>
      <c r="C22" s="7" t="s">
        <v>22</v>
      </c>
      <c r="D22" s="8" t="s">
        <v>87</v>
      </c>
      <c r="E22" s="2"/>
      <c r="F22" s="2"/>
      <c r="G22" s="2">
        <v>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>
        <v>26460</v>
      </c>
      <c r="W22" s="38">
        <v>45859</v>
      </c>
      <c r="X22" s="38">
        <v>46042</v>
      </c>
      <c r="Y22" s="3">
        <f t="shared" ca="1" si="0"/>
        <v>54</v>
      </c>
      <c r="Z22" s="6">
        <v>0.75</v>
      </c>
      <c r="AA22" s="9" t="s">
        <v>88</v>
      </c>
      <c r="AB22" s="9" t="s">
        <v>25</v>
      </c>
      <c r="AC22" s="9" t="s">
        <v>26</v>
      </c>
      <c r="AD22" s="10">
        <v>18600</v>
      </c>
    </row>
    <row r="23" spans="1:30" ht="31.5" customHeight="1" x14ac:dyDescent="0.25">
      <c r="A23" s="3">
        <v>22</v>
      </c>
      <c r="B23" s="1" t="s">
        <v>89</v>
      </c>
      <c r="C23" s="7" t="s">
        <v>22</v>
      </c>
      <c r="D23" s="8" t="s">
        <v>90</v>
      </c>
      <c r="E23" s="2"/>
      <c r="F23" s="2"/>
      <c r="G23" s="2">
        <v>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5">
        <v>42336</v>
      </c>
      <c r="W23" s="38">
        <v>45859</v>
      </c>
      <c r="X23" s="38">
        <v>46042</v>
      </c>
      <c r="Y23" s="3">
        <f t="shared" ca="1" si="0"/>
        <v>54</v>
      </c>
      <c r="Z23" s="6">
        <v>0.75</v>
      </c>
      <c r="AA23" s="9" t="s">
        <v>91</v>
      </c>
      <c r="AB23" s="9" t="s">
        <v>25</v>
      </c>
      <c r="AC23" s="9" t="s">
        <v>26</v>
      </c>
      <c r="AD23" s="10">
        <v>29760</v>
      </c>
    </row>
    <row r="24" spans="1:30" ht="31.5" customHeight="1" x14ac:dyDescent="0.25">
      <c r="A24" s="3">
        <v>23</v>
      </c>
      <c r="B24" s="1" t="s">
        <v>92</v>
      </c>
      <c r="C24" s="7" t="s">
        <v>93</v>
      </c>
      <c r="D24" s="8"/>
      <c r="E24" s="2"/>
      <c r="F24" s="2"/>
      <c r="G24" s="2"/>
      <c r="H24" s="2">
        <v>20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>
        <v>131760</v>
      </c>
      <c r="W24" s="38">
        <v>45866</v>
      </c>
      <c r="X24" s="38">
        <v>46049</v>
      </c>
      <c r="Y24" s="3">
        <f t="shared" ca="1" si="0"/>
        <v>61</v>
      </c>
      <c r="Z24" s="6">
        <v>0.8</v>
      </c>
      <c r="AA24" s="9" t="s">
        <v>94</v>
      </c>
      <c r="AB24" s="9" t="s">
        <v>25</v>
      </c>
      <c r="AC24" s="9" t="s">
        <v>26</v>
      </c>
      <c r="AD24" s="10">
        <v>95540</v>
      </c>
    </row>
    <row r="25" spans="1:30" ht="31.5" customHeight="1" x14ac:dyDescent="0.25">
      <c r="A25" s="3">
        <v>24</v>
      </c>
      <c r="B25" s="1" t="s">
        <v>95</v>
      </c>
      <c r="C25" s="7" t="s">
        <v>22</v>
      </c>
      <c r="D25" s="8" t="s">
        <v>96</v>
      </c>
      <c r="E25" s="2"/>
      <c r="F25" s="2">
        <v>4</v>
      </c>
      <c r="G25" s="2">
        <v>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5">
        <v>27000</v>
      </c>
      <c r="W25" s="38">
        <v>45870</v>
      </c>
      <c r="X25" s="38">
        <v>46053</v>
      </c>
      <c r="Y25" s="3">
        <f t="shared" ca="1" si="0"/>
        <v>65</v>
      </c>
      <c r="Z25" s="6">
        <v>0.8</v>
      </c>
      <c r="AA25" s="9" t="s">
        <v>97</v>
      </c>
      <c r="AB25" s="9" t="s">
        <v>25</v>
      </c>
      <c r="AC25" s="9" t="s">
        <v>26</v>
      </c>
      <c r="AD25" s="10">
        <v>18180</v>
      </c>
    </row>
    <row r="26" spans="1:30" ht="31.5" customHeight="1" x14ac:dyDescent="0.25">
      <c r="A26" s="3">
        <v>25</v>
      </c>
      <c r="B26" s="1" t="s">
        <v>98</v>
      </c>
      <c r="C26" s="7" t="s">
        <v>99</v>
      </c>
      <c r="D26" s="8" t="s">
        <v>100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v>1</v>
      </c>
      <c r="S26" s="2"/>
      <c r="T26" s="2"/>
      <c r="U26" s="2"/>
      <c r="V26" s="5">
        <v>68040</v>
      </c>
      <c r="W26" s="38">
        <v>45859</v>
      </c>
      <c r="X26" s="38">
        <v>46132</v>
      </c>
      <c r="Y26" s="3">
        <f t="shared" ca="1" si="0"/>
        <v>144</v>
      </c>
      <c r="Z26" s="6">
        <v>0</v>
      </c>
      <c r="AA26" s="35" t="s">
        <v>139</v>
      </c>
      <c r="AB26" s="35"/>
      <c r="AC26" s="15" t="s">
        <v>26</v>
      </c>
      <c r="AD26" s="16"/>
    </row>
    <row r="27" spans="1:30" ht="31.5" customHeight="1" x14ac:dyDescent="0.25">
      <c r="A27" s="3">
        <v>26</v>
      </c>
      <c r="B27" s="1" t="s">
        <v>101</v>
      </c>
      <c r="C27" s="7" t="s">
        <v>99</v>
      </c>
      <c r="D27" s="8" t="s">
        <v>102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>
        <v>4</v>
      </c>
      <c r="P27" s="2"/>
      <c r="Q27" s="2"/>
      <c r="R27" s="2"/>
      <c r="S27" s="2"/>
      <c r="T27" s="2"/>
      <c r="U27" s="2"/>
      <c r="V27" s="5">
        <v>108000</v>
      </c>
      <c r="W27" s="38">
        <v>45859</v>
      </c>
      <c r="X27" s="38">
        <v>46132</v>
      </c>
      <c r="Y27" s="3">
        <f t="shared" ca="1" si="0"/>
        <v>144</v>
      </c>
      <c r="Z27" s="6">
        <v>0</v>
      </c>
      <c r="AA27" s="35" t="s">
        <v>139</v>
      </c>
      <c r="AB27" s="35"/>
      <c r="AC27" s="15" t="s">
        <v>26</v>
      </c>
      <c r="AD27" s="16"/>
    </row>
    <row r="28" spans="1:30" ht="31.5" customHeight="1" x14ac:dyDescent="0.25">
      <c r="A28" s="3">
        <v>27</v>
      </c>
      <c r="B28" s="1" t="s">
        <v>103</v>
      </c>
      <c r="C28" s="7" t="s">
        <v>99</v>
      </c>
      <c r="D28" s="8" t="s">
        <v>71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  <c r="Q28" s="2"/>
      <c r="R28" s="2"/>
      <c r="S28" s="2"/>
      <c r="T28" s="2"/>
      <c r="U28" s="2"/>
      <c r="V28" s="5">
        <v>37800</v>
      </c>
      <c r="W28" s="38">
        <v>45870</v>
      </c>
      <c r="X28" s="38">
        <v>46142</v>
      </c>
      <c r="Y28" s="3">
        <f t="shared" ca="1" si="0"/>
        <v>154</v>
      </c>
      <c r="Z28" s="6">
        <v>0</v>
      </c>
      <c r="AA28" s="35" t="s">
        <v>139</v>
      </c>
      <c r="AB28" s="35"/>
      <c r="AC28" s="15" t="s">
        <v>26</v>
      </c>
      <c r="AD28" s="16"/>
    </row>
    <row r="29" spans="1:30" ht="31.5" customHeight="1" x14ac:dyDescent="0.25">
      <c r="A29" s="3">
        <v>28</v>
      </c>
      <c r="B29" s="1" t="s">
        <v>104</v>
      </c>
      <c r="C29" s="7" t="s">
        <v>99</v>
      </c>
      <c r="D29" s="8" t="s">
        <v>105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v>8</v>
      </c>
      <c r="U29" s="2">
        <v>4</v>
      </c>
      <c r="V29" s="5">
        <v>97200</v>
      </c>
      <c r="W29" s="38">
        <v>45859</v>
      </c>
      <c r="X29" s="38">
        <v>46042</v>
      </c>
      <c r="Y29" s="3">
        <f t="shared" ca="1" si="0"/>
        <v>54</v>
      </c>
      <c r="Z29" s="6">
        <v>0.5</v>
      </c>
      <c r="AA29" s="36" t="s">
        <v>144</v>
      </c>
      <c r="AB29" s="36"/>
      <c r="AC29" s="17" t="s">
        <v>26</v>
      </c>
      <c r="AD29" s="40">
        <v>48000</v>
      </c>
    </row>
    <row r="30" spans="1:30" ht="31.5" customHeight="1" x14ac:dyDescent="0.25">
      <c r="A30" s="3">
        <v>29</v>
      </c>
      <c r="B30" s="1" t="s">
        <v>106</v>
      </c>
      <c r="C30" s="7" t="s">
        <v>107</v>
      </c>
      <c r="D30" s="8" t="s">
        <v>62</v>
      </c>
      <c r="E30" s="2"/>
      <c r="F30" s="2">
        <v>30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5">
        <v>123120</v>
      </c>
      <c r="W30" s="38">
        <v>45859</v>
      </c>
      <c r="X30" s="38">
        <v>46101</v>
      </c>
      <c r="Y30" s="3">
        <f t="shared" ca="1" si="0"/>
        <v>113</v>
      </c>
      <c r="Z30" s="6">
        <v>0.5</v>
      </c>
      <c r="AA30" s="9" t="s">
        <v>108</v>
      </c>
      <c r="AB30" s="9" t="s">
        <v>25</v>
      </c>
      <c r="AC30" s="9" t="s">
        <v>26</v>
      </c>
      <c r="AD30" s="10">
        <v>80550</v>
      </c>
    </row>
    <row r="31" spans="1:30" ht="31.5" customHeight="1" x14ac:dyDescent="0.25">
      <c r="A31" s="3">
        <v>30</v>
      </c>
      <c r="B31" s="1" t="s">
        <v>109</v>
      </c>
      <c r="C31" s="7" t="s">
        <v>110</v>
      </c>
      <c r="D31" s="8" t="s">
        <v>111</v>
      </c>
      <c r="E31" s="2"/>
      <c r="F31" s="2"/>
      <c r="G31" s="2">
        <v>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5">
        <v>15876</v>
      </c>
      <c r="W31" s="38">
        <v>45847</v>
      </c>
      <c r="X31" s="38">
        <v>45908</v>
      </c>
      <c r="Y31" s="3">
        <f t="shared" ca="1" si="0"/>
        <v>0</v>
      </c>
      <c r="Z31" s="6">
        <v>1</v>
      </c>
      <c r="AA31" s="9" t="s">
        <v>112</v>
      </c>
      <c r="AB31" s="9" t="s">
        <v>25</v>
      </c>
      <c r="AC31" s="9" t="s">
        <v>26</v>
      </c>
      <c r="AD31" s="10">
        <v>11295</v>
      </c>
    </row>
    <row r="32" spans="1:30" ht="31.5" customHeight="1" x14ac:dyDescent="0.25">
      <c r="A32" s="3">
        <v>31</v>
      </c>
      <c r="B32" s="1" t="s">
        <v>113</v>
      </c>
      <c r="C32" s="7" t="s">
        <v>114</v>
      </c>
      <c r="D32" s="8" t="s">
        <v>115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>
        <v>1</v>
      </c>
      <c r="P32" s="2"/>
      <c r="Q32" s="2"/>
      <c r="R32" s="2"/>
      <c r="S32" s="2"/>
      <c r="T32" s="2"/>
      <c r="U32" s="2"/>
      <c r="V32" s="5">
        <v>27000</v>
      </c>
      <c r="W32" s="38">
        <v>45852</v>
      </c>
      <c r="X32" s="38">
        <v>46004</v>
      </c>
      <c r="Y32" s="3">
        <f t="shared" ca="1" si="0"/>
        <v>16</v>
      </c>
      <c r="Z32" s="6">
        <v>0</v>
      </c>
      <c r="AA32" s="37" t="s">
        <v>139</v>
      </c>
      <c r="AB32" s="35"/>
      <c r="AC32" s="15" t="s">
        <v>26</v>
      </c>
      <c r="AD32" s="16"/>
    </row>
    <row r="33" spans="1:30" ht="31.5" customHeight="1" x14ac:dyDescent="0.25">
      <c r="A33" s="3">
        <v>32</v>
      </c>
      <c r="B33" s="1" t="s">
        <v>116</v>
      </c>
      <c r="C33" s="7" t="s">
        <v>117</v>
      </c>
      <c r="D33" s="8" t="s">
        <v>118</v>
      </c>
      <c r="E33" s="2"/>
      <c r="F33" s="2"/>
      <c r="G33" s="2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5">
        <v>5292</v>
      </c>
      <c r="W33" s="38">
        <v>45866</v>
      </c>
      <c r="X33" s="38">
        <v>45927</v>
      </c>
      <c r="Y33" s="3">
        <f t="shared" ca="1" si="0"/>
        <v>0</v>
      </c>
      <c r="Z33" s="6">
        <v>1</v>
      </c>
      <c r="AA33" s="9" t="s">
        <v>119</v>
      </c>
      <c r="AB33" s="9" t="s">
        <v>25</v>
      </c>
      <c r="AC33" s="9" t="s">
        <v>26</v>
      </c>
      <c r="AD33" s="10">
        <v>3720</v>
      </c>
    </row>
    <row r="34" spans="1:30" ht="31.5" customHeight="1" x14ac:dyDescent="0.25">
      <c r="A34" s="3">
        <v>33</v>
      </c>
      <c r="B34" s="1" t="s">
        <v>120</v>
      </c>
      <c r="C34" s="7" t="s">
        <v>121</v>
      </c>
      <c r="D34" s="8" t="s">
        <v>62</v>
      </c>
      <c r="E34" s="2"/>
      <c r="F34" s="2">
        <v>22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5">
        <v>90288</v>
      </c>
      <c r="W34" s="38">
        <v>45875</v>
      </c>
      <c r="X34" s="38">
        <v>45966</v>
      </c>
      <c r="Y34" s="3">
        <f t="shared" ca="1" si="0"/>
        <v>0</v>
      </c>
      <c r="Z34" s="6">
        <v>1</v>
      </c>
      <c r="AA34" s="9" t="s">
        <v>122</v>
      </c>
      <c r="AB34" s="9" t="s">
        <v>25</v>
      </c>
      <c r="AC34" s="9" t="s">
        <v>26</v>
      </c>
      <c r="AD34" s="10">
        <v>59070</v>
      </c>
    </row>
    <row r="35" spans="1:30" ht="31.5" customHeight="1" x14ac:dyDescent="0.25">
      <c r="A35" s="3">
        <v>34</v>
      </c>
      <c r="B35" s="1" t="s">
        <v>140</v>
      </c>
      <c r="C35" s="7" t="s">
        <v>141</v>
      </c>
      <c r="D35" s="8" t="s">
        <v>142</v>
      </c>
      <c r="E35" s="2">
        <v>4</v>
      </c>
      <c r="F35" s="2">
        <v>5</v>
      </c>
      <c r="G35" s="2">
        <v>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5">
        <v>56376</v>
      </c>
      <c r="W35" s="38">
        <v>45985</v>
      </c>
      <c r="X35" s="38">
        <v>46076</v>
      </c>
      <c r="Y35" s="3">
        <f t="shared" ref="Y35" ca="1" si="1">IF(X35-TODAY()&gt;0,X35-TODAY(),0)</f>
        <v>88</v>
      </c>
      <c r="Z35" s="6">
        <v>0.1</v>
      </c>
      <c r="AA35" s="9" t="s">
        <v>143</v>
      </c>
      <c r="AB35" s="9"/>
      <c r="AC35" s="9" t="s">
        <v>26</v>
      </c>
      <c r="AD35" s="10"/>
    </row>
    <row r="36" spans="1:30" ht="31.5" customHeight="1" x14ac:dyDescent="0.25">
      <c r="A36" s="3">
        <v>34</v>
      </c>
      <c r="B36" s="1" t="s">
        <v>123</v>
      </c>
      <c r="C36" s="7" t="s">
        <v>93</v>
      </c>
      <c r="D36" s="8" t="s">
        <v>124</v>
      </c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">
        <v>3672</v>
      </c>
      <c r="W36" s="38">
        <v>45964</v>
      </c>
      <c r="X36" s="38">
        <v>45993</v>
      </c>
      <c r="Y36" s="3">
        <f t="shared" ca="1" si="0"/>
        <v>5</v>
      </c>
      <c r="Z36" s="6">
        <v>0.5</v>
      </c>
      <c r="AA36" s="9" t="s">
        <v>125</v>
      </c>
      <c r="AB36" s="39" t="s">
        <v>25</v>
      </c>
      <c r="AC36" s="9" t="s">
        <v>26</v>
      </c>
      <c r="AD36" s="10">
        <v>2315</v>
      </c>
    </row>
    <row r="37" spans="1:30" ht="31.5" customHeight="1" x14ac:dyDescent="0.25">
      <c r="A37" s="3">
        <v>34</v>
      </c>
      <c r="B37" s="1" t="s">
        <v>126</v>
      </c>
      <c r="C37" s="7" t="s">
        <v>127</v>
      </c>
      <c r="D37" s="8" t="s">
        <v>128</v>
      </c>
      <c r="E37" s="2"/>
      <c r="F37" s="2">
        <v>6</v>
      </c>
      <c r="G37" s="2">
        <v>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5">
        <v>56376</v>
      </c>
      <c r="W37" s="38">
        <v>45938</v>
      </c>
      <c r="X37" s="38">
        <v>45968</v>
      </c>
      <c r="Y37" s="3">
        <f t="shared" ca="1" si="0"/>
        <v>0</v>
      </c>
      <c r="Z37" s="6">
        <v>1</v>
      </c>
      <c r="AA37" s="9" t="s">
        <v>129</v>
      </c>
      <c r="AB37" s="9" t="s">
        <v>25</v>
      </c>
      <c r="AC37" s="9" t="s">
        <v>26</v>
      </c>
      <c r="AD37" s="10">
        <v>38520</v>
      </c>
    </row>
  </sheetData>
  <phoneticPr fontId="9" type="noConversion"/>
  <conditionalFormatting sqref="B2:B37">
    <cfRule type="cellIs" dxfId="8" priority="4" operator="greaterThan">
      <formula>0</formula>
    </cfRule>
  </conditionalFormatting>
  <conditionalFormatting sqref="E2:H37">
    <cfRule type="cellIs" dxfId="7" priority="10" operator="greaterThan">
      <formula>0</formula>
    </cfRule>
  </conditionalFormatting>
  <conditionalFormatting sqref="I2:I37">
    <cfRule type="cellIs" dxfId="6" priority="9" operator="greaterThan">
      <formula>0</formula>
    </cfRule>
  </conditionalFormatting>
  <conditionalFormatting sqref="J2:K37">
    <cfRule type="cellIs" dxfId="5" priority="8" operator="greaterThan">
      <formula>0</formula>
    </cfRule>
  </conditionalFormatting>
  <conditionalFormatting sqref="L2:M37">
    <cfRule type="cellIs" dxfId="4" priority="7" operator="greaterThan">
      <formula>0</formula>
    </cfRule>
  </conditionalFormatting>
  <conditionalFormatting sqref="N2:U37">
    <cfRule type="cellIs" dxfId="3" priority="6" operator="greaterThan">
      <formula>0</formula>
    </cfRule>
  </conditionalFormatting>
  <conditionalFormatting sqref="T2:U37">
    <cfRule type="cellIs" dxfId="2" priority="5" operator="greaterThan">
      <formula>0</formula>
    </cfRule>
  </conditionalFormatting>
  <conditionalFormatting sqref="Y2:Y3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37">
    <cfRule type="cellIs" dxfId="1" priority="11" operator="lessThanOrEqual">
      <formula>0</formula>
    </cfRule>
  </conditionalFormatting>
  <conditionalFormatting sqref="Y3:Y37">
    <cfRule type="cellIs" dxfId="0" priority="2" operator="lessThanOrEqual">
      <formula>0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4:Y3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3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{4804C73B-DA5A-459D-A06D-C455A05D8607}</x14:id>
        </ext>
      </extLst>
    </cfRule>
  </conditionalFormatting>
  <conditionalFormatting sqref="Z2:Z3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{641DD018-10A5-4861-B66F-F2553A1698F9}</x14:id>
        </ext>
      </extLst>
    </cfRule>
  </conditionalFormatting>
  <conditionalFormatting sqref="Z3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{6A803B2F-AA5A-44CE-9A65-1EFEF93C878C}</x14:id>
        </ext>
      </extLst>
    </cfRule>
  </conditionalFormatting>
  <conditionalFormatting sqref="Z34:Z3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{0E8D2314-8B33-40FC-AC52-34905A613337}</x14:id>
        </ext>
      </extLst>
    </cfRule>
  </conditionalFormatting>
  <hyperlinks>
    <hyperlink ref="AA2" r:id="rId1" xr:uid="{9F6D2198-E47E-4F7F-998A-2CA8AC018B60}"/>
    <hyperlink ref="AA3" r:id="rId2" xr:uid="{6588FBD1-A38F-46E1-AA43-75BD0591676C}"/>
    <hyperlink ref="AA4" r:id="rId3" xr:uid="{B2A5441B-818F-4272-BEC7-A1172F5B4F88}"/>
    <hyperlink ref="AA6" r:id="rId4" xr:uid="{443AD69E-EDE7-437B-A1B1-D4372FB2B5EB}"/>
    <hyperlink ref="AA8" r:id="rId5" xr:uid="{3653DE2C-D652-4AE2-9162-8E7BD07AA81E}"/>
    <hyperlink ref="AA9" r:id="rId6" xr:uid="{369BA215-6CF4-45C0-A7F8-F0505182AC1D}"/>
    <hyperlink ref="AA10" r:id="rId7" xr:uid="{2518C393-7F4B-4273-8671-4B38646CF999}"/>
    <hyperlink ref="AA11" r:id="rId8" xr:uid="{227C1D3E-9564-4890-8635-E11B1EB81FC4}"/>
    <hyperlink ref="AA12" r:id="rId9" xr:uid="{79FE0389-6438-4E63-9C3F-A5421E003E16}"/>
    <hyperlink ref="AA18" r:id="rId10" xr:uid="{C6793E8E-C57B-40B6-BA77-186305362C3C}"/>
    <hyperlink ref="AA20" r:id="rId11" xr:uid="{015EFA7E-0C8E-4A61-8052-2087E60B2C12}"/>
    <hyperlink ref="AA21" r:id="rId12" xr:uid="{52AF32A5-0B42-4CDB-96A2-ABBF6F2D49CF}"/>
    <hyperlink ref="AA22" r:id="rId13" xr:uid="{286E338B-9B4F-4A2D-948F-A0C2AAFD17FB}"/>
    <hyperlink ref="AA23" r:id="rId14" xr:uid="{DF7E9B37-EEE6-42E4-A6E3-76B6B4FA9C18}"/>
    <hyperlink ref="AA25" r:id="rId15" xr:uid="{EED043CF-25A7-48CE-AD9A-BF1FF9171617}"/>
    <hyperlink ref="AA33" r:id="rId16" xr:uid="{8DB9E937-2661-48B3-9EEE-E8BD8CD49087}"/>
    <hyperlink ref="AA31" r:id="rId17" xr:uid="{5E5C9F1A-327C-4170-A000-EF1FF8354249}"/>
    <hyperlink ref="AA30" r:id="rId18" xr:uid="{A0EC1C66-6B9B-443D-A2FA-2FBB1321E22A}"/>
    <hyperlink ref="AA24" r:id="rId19" xr:uid="{71C2F2CB-6C11-4559-870E-3EBF67D44927}"/>
    <hyperlink ref="AA19" r:id="rId20" xr:uid="{C69E3C0D-CE37-47AA-B4B1-05C126303A17}"/>
    <hyperlink ref="AB3" r:id="rId21" display="امر التسليم" xr:uid="{3C33868C-087A-4845-B641-A3A179D4682E}"/>
    <hyperlink ref="AB11" r:id="rId22" xr:uid="{5031FEC9-6741-4C13-9B6E-4FC4A3861D96}"/>
    <hyperlink ref="AB10" r:id="rId23" display="امر التسليم" xr:uid="{45E7DFC2-0F2C-48F8-8D15-0C60C7869FEE}"/>
    <hyperlink ref="AB4" r:id="rId24" display="امر التسليم" xr:uid="{FEF67B4E-9635-4B9E-9ECF-C8AF73E9A755}"/>
    <hyperlink ref="AB9" r:id="rId25" display="امر التسليم" xr:uid="{C2C12B6B-FB02-49DD-B210-7C3C07CA503F}"/>
    <hyperlink ref="AB6" r:id="rId26" display="امر التسليم" xr:uid="{B10E2574-3580-4EC9-B2DC-9A9C85A9D2F4}"/>
    <hyperlink ref="AB8" r:id="rId27" display="امر التسليم" xr:uid="{1038CD27-462E-44F4-A7C2-FA3BBFC494B6}"/>
    <hyperlink ref="AB2" r:id="rId28" display="امر التسليم" xr:uid="{825B3CB4-A672-44AF-A95A-EC8C53EB7FAE}"/>
    <hyperlink ref="AA5" r:id="rId29" xr:uid="{AFFFAC54-6387-446A-83DE-BB19625789CD}"/>
    <hyperlink ref="AB31" r:id="rId30" display="امر التسليم" xr:uid="{29AC9D11-6361-45B5-8448-F5DEE2932D60}"/>
    <hyperlink ref="AC2" r:id="rId31" xr:uid="{00459006-28DA-4388-ADB5-874B8A88ED36}"/>
    <hyperlink ref="AC3" r:id="rId32" xr:uid="{0B971AB8-D5CF-4974-BC1E-A3310E91E79D}"/>
    <hyperlink ref="AC4" r:id="rId33" xr:uid="{0277B98D-0D5E-4624-B7D1-C5E9E9BBB480}"/>
    <hyperlink ref="AC5" r:id="rId34" xr:uid="{FF47FCC4-F4DD-4772-A259-71B4352F0CD8}"/>
    <hyperlink ref="AC6" r:id="rId35" xr:uid="{E7DADEC0-69D1-4D88-9D81-4F41BD235FDE}"/>
    <hyperlink ref="AC7" r:id="rId36" xr:uid="{C48D14BB-8D2F-43A3-A50A-45E21A2FCA71}"/>
    <hyperlink ref="AC8" r:id="rId37" xr:uid="{3CD9CD5D-A193-45C0-B2AE-DB61B4A44C1C}"/>
    <hyperlink ref="AC9" r:id="rId38" xr:uid="{7D33FB58-F72F-4CC2-A40A-E188E3BEA10C}"/>
    <hyperlink ref="AC10" r:id="rId39" xr:uid="{526BBC13-3187-47FE-8250-03F6229D1A7A}"/>
    <hyperlink ref="AC11" r:id="rId40" xr:uid="{0F067C29-0D23-489E-9569-9086FA11E6F0}"/>
    <hyperlink ref="AC12" r:id="rId41" xr:uid="{E7CB34B2-12B0-44F2-97C5-7608D56EC120}"/>
    <hyperlink ref="AC13" r:id="rId42" xr:uid="{36B20785-B017-44D8-9ACB-9FF3C02D5BD5}"/>
    <hyperlink ref="AC14" r:id="rId43" xr:uid="{08BE1EEA-01A6-4E49-B7D7-AEB64215F3B5}"/>
    <hyperlink ref="AC15" r:id="rId44" xr:uid="{6D77A953-5D3F-47AF-9F0B-CBBFB3947991}"/>
    <hyperlink ref="AC16" r:id="rId45" xr:uid="{E94285B7-40D2-469A-94FF-182247145E58}"/>
    <hyperlink ref="AC17" r:id="rId46" xr:uid="{BAFAE0C0-DA36-41A8-BE39-7B67FB670E3E}"/>
    <hyperlink ref="AC18" r:id="rId47" xr:uid="{FB2EEB26-67FC-4E74-8041-0C28C0EF47DF}"/>
    <hyperlink ref="AC19" r:id="rId48" xr:uid="{34EE733C-C69F-4C84-A424-28298BE87F34}"/>
    <hyperlink ref="AC20" r:id="rId49" xr:uid="{E1EE148C-5B19-497E-A808-1DBD187F0394}"/>
    <hyperlink ref="AC21" r:id="rId50" xr:uid="{5A669849-9785-405F-BF07-CFEE30867382}"/>
    <hyperlink ref="AC22" r:id="rId51" xr:uid="{2EDBFA6E-1670-47CF-AF2B-C916CF33ED03}"/>
    <hyperlink ref="AC23" r:id="rId52" xr:uid="{8B37261B-30C1-43F5-BBC2-69CAEBCA0496}"/>
    <hyperlink ref="AC24" r:id="rId53" xr:uid="{BDBC1513-087A-4B44-A2BA-927B2F4A4568}"/>
    <hyperlink ref="AC25" r:id="rId54" xr:uid="{034BFA01-54B8-4DC8-BC8A-60E8D0689944}"/>
    <hyperlink ref="AC26" r:id="rId55" xr:uid="{A8C91D9B-2D50-468A-BDC2-1BE9639D1EF5}"/>
    <hyperlink ref="AC27" r:id="rId56" xr:uid="{4451AE30-1564-4547-B5C4-6AC18BCEA43B}"/>
    <hyperlink ref="AC28" r:id="rId57" xr:uid="{CA8CCC00-CF82-4DE4-A57A-A8861C1D6FA0}"/>
    <hyperlink ref="AC29" r:id="rId58" xr:uid="{3EF5E554-563B-488C-A8A1-F6D994298223}"/>
    <hyperlink ref="AC30" r:id="rId59" xr:uid="{025528B4-3D6E-4F71-87F9-67A9092ABE7A}"/>
    <hyperlink ref="AC31" r:id="rId60" xr:uid="{E2EE5B11-39BE-4EBA-B3CD-25C6875208EC}"/>
    <hyperlink ref="AC32" r:id="rId61" xr:uid="{15658375-930E-429E-B886-D30ED075FA8F}"/>
    <hyperlink ref="AC33" r:id="rId62" xr:uid="{1AFBF651-5335-444E-9B56-231EFE22D073}"/>
    <hyperlink ref="AB18" r:id="rId63" display="امر التسليم" xr:uid="{A4FF0E12-FCD4-4E31-BAF9-092393BC350F}"/>
    <hyperlink ref="AB20" r:id="rId64" display="امر التسليم" xr:uid="{9CBB0796-555A-47CC-BEA8-D57BB44C14E6}"/>
    <hyperlink ref="AB22" r:id="rId65" display="امر التسليم" xr:uid="{8B241C44-1E8F-404C-A16C-42DD3BF512A8}"/>
    <hyperlink ref="AB33" r:id="rId66" display="امر التسليم" xr:uid="{347483B0-7653-443F-B882-6EC06B6FE0B9}"/>
    <hyperlink ref="AB12" r:id="rId67" display="امر التسليم" xr:uid="{29BBF533-B1F4-470A-88BC-2743A8A35822}"/>
    <hyperlink ref="AB21" r:id="rId68" xr:uid="{A465A531-953F-4394-9EB3-D45CF3320B0F}"/>
    <hyperlink ref="AB23" r:id="rId69" xr:uid="{CA66678F-91A1-4068-9E24-3CC0E57C0B67}"/>
    <hyperlink ref="AB19" r:id="rId70" xr:uid="{8E07E790-58FC-4FCA-A635-F6F12B3071A0}"/>
    <hyperlink ref="AB25" r:id="rId71" xr:uid="{2344BCD8-6469-4D1F-B78A-0F271252F318}"/>
    <hyperlink ref="AB24" r:id="rId72" xr:uid="{2EC7DF8B-8570-4459-8224-8E71F149FDCA}"/>
    <hyperlink ref="AB30" r:id="rId73" xr:uid="{7157F558-55E8-4DB0-8461-D58E789EAEC1}"/>
    <hyperlink ref="AA37" r:id="rId74" xr:uid="{BCDB4A63-D0C5-4CD5-9EB0-4FA6AFA2CAA8}"/>
    <hyperlink ref="AC37" r:id="rId75" xr:uid="{D76A4EC7-D5B8-4593-9A38-F38A06CD7CE5}"/>
    <hyperlink ref="AB37" r:id="rId76" xr:uid="{647AB845-AFDC-4AA9-B113-07BD8D59432F}"/>
    <hyperlink ref="AA36" r:id="rId77" display="PO2500008803" xr:uid="{5793A645-4B75-4342-9B41-19545FC006E8}"/>
    <hyperlink ref="AC36" r:id="rId78" xr:uid="{F2A6AB25-5244-4CFF-8685-7332322A6E22}"/>
    <hyperlink ref="AC35" r:id="rId79" xr:uid="{89A421FF-E380-4F3B-8630-F8CA2785877F}"/>
    <hyperlink ref="AA35" r:id="rId80" display="PO2500008803" xr:uid="{89E18BDA-7611-45A8-983D-E1A24C144B09}"/>
    <hyperlink ref="AB34" r:id="rId81" xr:uid="{E1426EEA-7CE4-44DF-BFE5-A26A3D20E68A}"/>
    <hyperlink ref="AC34" r:id="rId82" xr:uid="{DED731C6-8F70-4945-BB16-8E918C77857B}"/>
    <hyperlink ref="AA34" r:id="rId83" xr:uid="{F3DA752A-3940-4F88-9AB3-E5C3CCC0DC27}"/>
  </hyperlinks>
  <pageMargins left="0.7" right="0.7" top="0.75" bottom="0.75" header="0.3" footer="0.3"/>
  <pageSetup paperSize="9" scale="44" fitToHeight="0" orientation="landscape" horizontalDpi="4294967293" verticalDpi="4294967293" r:id="rId8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04C73B-DA5A-459D-A06D-C455A05D86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Z2:Z32</xm:sqref>
        </x14:conditionalFormatting>
        <x14:conditionalFormatting xmlns:xm="http://schemas.microsoft.com/office/excel/2006/main">
          <x14:cfRule type="dataBar" id="{641DD018-10A5-4861-B66F-F2553A169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Z2:Z37</xm:sqref>
        </x14:conditionalFormatting>
        <x14:conditionalFormatting xmlns:xm="http://schemas.microsoft.com/office/excel/2006/main">
          <x14:cfRule type="dataBar" id="{6A803B2F-AA5A-44CE-9A65-1EFEF93C87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Z33</xm:sqref>
        </x14:conditionalFormatting>
        <x14:conditionalFormatting xmlns:xm="http://schemas.microsoft.com/office/excel/2006/main">
          <x14:cfRule type="dataBar" id="{0E8D2314-8B33-40FC-AC52-34905A613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Z34:Z37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DE1DB-9B3D-4775-80F9-9FF26674B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Gisco</dc:creator>
  <cp:lastModifiedBy>Mostafa Desho</cp:lastModifiedBy>
  <cp:lastPrinted>2025-11-11T09:54:47Z</cp:lastPrinted>
  <dcterms:created xsi:type="dcterms:W3CDTF">2015-06-05T18:17:20Z</dcterms:created>
  <dcterms:modified xsi:type="dcterms:W3CDTF">2025-11-27T04:57:48Z</dcterms:modified>
</cp:coreProperties>
</file>