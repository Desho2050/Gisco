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sco\Desktop\WEB\"/>
    </mc:Choice>
  </mc:AlternateContent>
  <xr:revisionPtr revIDLastSave="0" documentId="13_ncr:1_{66FF615B-B589-4326-A1AC-A26124EE6B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MATERIALS" sheetId="1" r:id="rId1"/>
    <sheet name="Sheet1" sheetId="2" r:id="rId2"/>
  </sheets>
  <definedNames>
    <definedName name="_xlnm._FilterDatabase" localSheetId="0" hidden="1">'ALL MATERIALS'!$A$1:$J$720</definedName>
  </definedNames>
  <calcPr calcId="191029"/>
</workbook>
</file>

<file path=xl/calcChain.xml><?xml version="1.0" encoding="utf-8"?>
<calcChain xmlns="http://schemas.openxmlformats.org/spreadsheetml/2006/main">
  <c r="F721" i="1" l="1"/>
  <c r="G635" i="1"/>
  <c r="G634" i="1"/>
  <c r="G598" i="1"/>
  <c r="G599" i="1"/>
  <c r="G578" i="1"/>
  <c r="G560" i="1"/>
  <c r="G559" i="1"/>
  <c r="G561" i="1"/>
  <c r="G544" i="1"/>
  <c r="G37" i="1" l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  <c r="G721" i="1" l="1"/>
</calcChain>
</file>

<file path=xl/sharedStrings.xml><?xml version="1.0" encoding="utf-8"?>
<sst xmlns="http://schemas.openxmlformats.org/spreadsheetml/2006/main" count="4500" uniqueCount="1770">
  <si>
    <t>SN</t>
  </si>
  <si>
    <t>Remark</t>
  </si>
  <si>
    <t>Requisition</t>
  </si>
  <si>
    <t>Order</t>
  </si>
  <si>
    <t>Amount</t>
  </si>
  <si>
    <t>Received Aount</t>
  </si>
  <si>
    <t>RECEIPT DATE</t>
  </si>
  <si>
    <t>Field9</t>
  </si>
  <si>
    <t>Receipt</t>
  </si>
  <si>
    <t>M</t>
  </si>
  <si>
    <t>REQ2500006916</t>
  </si>
  <si>
    <t>733261</t>
  </si>
  <si>
    <t/>
  </si>
  <si>
    <t>2530001181, 2530001182</t>
  </si>
  <si>
    <t>REQ2500006921</t>
  </si>
  <si>
    <t>733262</t>
  </si>
  <si>
    <t>2530001029</t>
  </si>
  <si>
    <t>REQ2500007020</t>
  </si>
  <si>
    <t>737277</t>
  </si>
  <si>
    <t>2530001183</t>
  </si>
  <si>
    <t>REQ2500007252</t>
  </si>
  <si>
    <t>739265</t>
  </si>
  <si>
    <t>2530001184</t>
  </si>
  <si>
    <t>REQ2500007872</t>
  </si>
  <si>
    <t>755267</t>
  </si>
  <si>
    <t>2530001185</t>
  </si>
  <si>
    <t>REQ2500007886</t>
  </si>
  <si>
    <t>758273</t>
  </si>
  <si>
    <t>2530001186</t>
  </si>
  <si>
    <t>REQ2500007940</t>
  </si>
  <si>
    <t>758277</t>
  </si>
  <si>
    <t>2530001187</t>
  </si>
  <si>
    <t>REQ2500008178</t>
  </si>
  <si>
    <t>Not Received</t>
  </si>
  <si>
    <t>REQ2500008491</t>
  </si>
  <si>
    <t>770292</t>
  </si>
  <si>
    <t>2530001370</t>
  </si>
  <si>
    <t>REQ2500008634</t>
  </si>
  <si>
    <t>770303</t>
  </si>
  <si>
    <t>2530001156</t>
  </si>
  <si>
    <t>REQ2500008824</t>
  </si>
  <si>
    <t>772295</t>
  </si>
  <si>
    <t>2530001159</t>
  </si>
  <si>
    <t>REQ2500009017</t>
  </si>
  <si>
    <t>REQ2500008925</t>
  </si>
  <si>
    <t>773281</t>
  </si>
  <si>
    <t>2530001157</t>
  </si>
  <si>
    <t>REQ2500009093</t>
  </si>
  <si>
    <t>773315</t>
  </si>
  <si>
    <t>2530001160</t>
  </si>
  <si>
    <t>REQ2500009531</t>
  </si>
  <si>
    <t>777297</t>
  </si>
  <si>
    <t>2530001256</t>
  </si>
  <si>
    <t>REQ2500009635</t>
  </si>
  <si>
    <t>777313</t>
  </si>
  <si>
    <t>2530001257</t>
  </si>
  <si>
    <t>REQ2500009476</t>
  </si>
  <si>
    <t>778267</t>
  </si>
  <si>
    <t>2530001259</t>
  </si>
  <si>
    <t>REQ2500010074</t>
  </si>
  <si>
    <t>778358</t>
  </si>
  <si>
    <t>2530001327</t>
  </si>
  <si>
    <t>REQ2500009960</t>
  </si>
  <si>
    <t>778363</t>
  </si>
  <si>
    <t>2530001325</t>
  </si>
  <si>
    <t>REQ2500009831</t>
  </si>
  <si>
    <t>779260</t>
  </si>
  <si>
    <t>2530001369</t>
  </si>
  <si>
    <t>REQ2500009956</t>
  </si>
  <si>
    <t>779271</t>
  </si>
  <si>
    <t>2530001323</t>
  </si>
  <si>
    <t>REQ2500010096</t>
  </si>
  <si>
    <t>779295</t>
  </si>
  <si>
    <t>2530001326</t>
  </si>
  <si>
    <t>REQ2500010037</t>
  </si>
  <si>
    <t>779296</t>
  </si>
  <si>
    <t>2530001328</t>
  </si>
  <si>
    <t>REQ2500010195</t>
  </si>
  <si>
    <t>780273</t>
  </si>
  <si>
    <t>2530001412</t>
  </si>
  <si>
    <t>REQ2500010563</t>
  </si>
  <si>
    <t>780318</t>
  </si>
  <si>
    <t>2530001407</t>
  </si>
  <si>
    <t>REQ2500010310</t>
  </si>
  <si>
    <t>781277</t>
  </si>
  <si>
    <t>2530001368</t>
  </si>
  <si>
    <t>REQ2500010929</t>
  </si>
  <si>
    <t>782267</t>
  </si>
  <si>
    <t>2530001458</t>
  </si>
  <si>
    <t>REQ2500010963</t>
  </si>
  <si>
    <t>782278</t>
  </si>
  <si>
    <t>2530001459</t>
  </si>
  <si>
    <t>REQ2500011120</t>
  </si>
  <si>
    <t>782296</t>
  </si>
  <si>
    <t>2530001460</t>
  </si>
  <si>
    <t>wo</t>
  </si>
  <si>
    <t>REQ2500011151</t>
  </si>
  <si>
    <t>782304</t>
  </si>
  <si>
    <t>2530001674</t>
  </si>
  <si>
    <t>REQ2500010886</t>
  </si>
  <si>
    <t>REQ2500011428</t>
  </si>
  <si>
    <t>787285</t>
  </si>
  <si>
    <t>2530001584</t>
  </si>
  <si>
    <t>REQ2500011614</t>
  </si>
  <si>
    <t>REQ2500011680</t>
  </si>
  <si>
    <t>790260</t>
  </si>
  <si>
    <t>2530001621</t>
  </si>
  <si>
    <t>REQ2500011758</t>
  </si>
  <si>
    <t>791261</t>
  </si>
  <si>
    <t>2530001809</t>
  </si>
  <si>
    <t>REQ2500011916</t>
  </si>
  <si>
    <t>793265</t>
  </si>
  <si>
    <t>2530001583</t>
  </si>
  <si>
    <t>REQ2500011953</t>
  </si>
  <si>
    <t>793267</t>
  </si>
  <si>
    <t>2530001628</t>
  </si>
  <si>
    <t>REQ2500011869</t>
  </si>
  <si>
    <t>794260</t>
  </si>
  <si>
    <t>2530001582</t>
  </si>
  <si>
    <t>REQ2500012030</t>
  </si>
  <si>
    <t>794272</t>
  </si>
  <si>
    <t>REQ2500012063</t>
  </si>
  <si>
    <t>795259</t>
  </si>
  <si>
    <t>REQ2500012117</t>
  </si>
  <si>
    <t>795265</t>
  </si>
  <si>
    <t>2530001806</t>
  </si>
  <si>
    <t>REQ2500012116</t>
  </si>
  <si>
    <t>795267</t>
  </si>
  <si>
    <t>REQ2500012206</t>
  </si>
  <si>
    <t>REQ2500012235</t>
  </si>
  <si>
    <t>795286</t>
  </si>
  <si>
    <t>2530001714</t>
  </si>
  <si>
    <t>REQ2500012050</t>
  </si>
  <si>
    <t>796259</t>
  </si>
  <si>
    <t>2530001624</t>
  </si>
  <si>
    <t>REQ2500012120</t>
  </si>
  <si>
    <t>796265</t>
  </si>
  <si>
    <t>REQ2500012256</t>
  </si>
  <si>
    <t>796287</t>
  </si>
  <si>
    <t>REQ2500012259</t>
  </si>
  <si>
    <t>796289</t>
  </si>
  <si>
    <t>REQ2500012509</t>
  </si>
  <si>
    <t>797271</t>
  </si>
  <si>
    <t>2530001807</t>
  </si>
  <si>
    <t>REQ2500012671</t>
  </si>
  <si>
    <t>797301</t>
  </si>
  <si>
    <t>2530001692</t>
  </si>
  <si>
    <t>REQ2500012407</t>
  </si>
  <si>
    <t>798259</t>
  </si>
  <si>
    <t>2530001808</t>
  </si>
  <si>
    <t>REQ2500013209</t>
  </si>
  <si>
    <t>799276</t>
  </si>
  <si>
    <t>2530002270</t>
  </si>
  <si>
    <t>REQ2500013216</t>
  </si>
  <si>
    <t>799277</t>
  </si>
  <si>
    <t>2530001968</t>
  </si>
  <si>
    <t>REQ2500013236</t>
  </si>
  <si>
    <t>799280</t>
  </si>
  <si>
    <t>2530001811</t>
  </si>
  <si>
    <t>REQ2500013233</t>
  </si>
  <si>
    <t>799282</t>
  </si>
  <si>
    <t>2530001810</t>
  </si>
  <si>
    <t>REQ2500013240</t>
  </si>
  <si>
    <t>800280</t>
  </si>
  <si>
    <t>2530001812</t>
  </si>
  <si>
    <t>REQ2500013769</t>
  </si>
  <si>
    <t>802263</t>
  </si>
  <si>
    <t>2530001871</t>
  </si>
  <si>
    <t>REQ2500013806</t>
  </si>
  <si>
    <t>804261</t>
  </si>
  <si>
    <t>2530001872</t>
  </si>
  <si>
    <t>REQ2500013912</t>
  </si>
  <si>
    <t>805263</t>
  </si>
  <si>
    <t>2530001887</t>
  </si>
  <si>
    <t>REQ2500014111</t>
  </si>
  <si>
    <t>806272</t>
  </si>
  <si>
    <t>2530002271</t>
  </si>
  <si>
    <t>REQ2500014288</t>
  </si>
  <si>
    <t>806295</t>
  </si>
  <si>
    <t>2530001967</t>
  </si>
  <si>
    <t>REQ2500014443</t>
  </si>
  <si>
    <t>808269</t>
  </si>
  <si>
    <t>2530001965</t>
  </si>
  <si>
    <t>REQ2500014455</t>
  </si>
  <si>
    <t>REQ2500014528</t>
  </si>
  <si>
    <t>809285</t>
  </si>
  <si>
    <t>2530001966</t>
  </si>
  <si>
    <t>REQ2500014463</t>
  </si>
  <si>
    <t>811262</t>
  </si>
  <si>
    <t>2530002042</t>
  </si>
  <si>
    <t>REQ2500014754</t>
  </si>
  <si>
    <t>812267</t>
  </si>
  <si>
    <t>2530002041 - 2530002044</t>
  </si>
  <si>
    <t>REQ2500014721</t>
  </si>
  <si>
    <t>812270</t>
  </si>
  <si>
    <t>2530002043</t>
  </si>
  <si>
    <t>REQ2500014837</t>
  </si>
  <si>
    <t>814260</t>
  </si>
  <si>
    <t>2530002045</t>
  </si>
  <si>
    <t>REQ2500014991</t>
  </si>
  <si>
    <t>817266</t>
  </si>
  <si>
    <t>2530002049</t>
  </si>
  <si>
    <t>REQ2500015022</t>
  </si>
  <si>
    <t>REQ2500015064</t>
  </si>
  <si>
    <t>817282</t>
  </si>
  <si>
    <t>2530002105</t>
  </si>
  <si>
    <t>REQ2500015023</t>
  </si>
  <si>
    <t>REQ2500014950</t>
  </si>
  <si>
    <t>819259</t>
  </si>
  <si>
    <t>2530002048</t>
  </si>
  <si>
    <t>REQ2500015190</t>
  </si>
  <si>
    <t>822263</t>
  </si>
  <si>
    <t>2530002106</t>
  </si>
  <si>
    <t>REQ2500015335</t>
  </si>
  <si>
    <t>822284</t>
  </si>
  <si>
    <t>2530002104</t>
  </si>
  <si>
    <t>REQ2500015411</t>
  </si>
  <si>
    <t>822294</t>
  </si>
  <si>
    <t>2530002107</t>
  </si>
  <si>
    <t>REQ2500015639</t>
  </si>
  <si>
    <t>827259</t>
  </si>
  <si>
    <t>2530002143</t>
  </si>
  <si>
    <t>REQ2500015684</t>
  </si>
  <si>
    <t>827274</t>
  </si>
  <si>
    <t>2530002141 - 2530002142</t>
  </si>
  <si>
    <t>REQ2500016047</t>
  </si>
  <si>
    <t>829299</t>
  </si>
  <si>
    <t>2530002217</t>
  </si>
  <si>
    <t>REQ2500015811</t>
  </si>
  <si>
    <t>830266</t>
  </si>
  <si>
    <t>2530002216</t>
  </si>
  <si>
    <t>REQ2500016100</t>
  </si>
  <si>
    <t>830321</t>
  </si>
  <si>
    <t>2530002218</t>
  </si>
  <si>
    <t>REQ2500016175</t>
  </si>
  <si>
    <t>830329</t>
  </si>
  <si>
    <t>2530002524</t>
  </si>
  <si>
    <t>REQ2500016179</t>
  </si>
  <si>
    <t>830330</t>
  </si>
  <si>
    <t>2530002221</t>
  </si>
  <si>
    <t>REQ2500016663</t>
  </si>
  <si>
    <t>830411</t>
  </si>
  <si>
    <t>2530002332</t>
  </si>
  <si>
    <t>REQ2500016522</t>
  </si>
  <si>
    <t>831298</t>
  </si>
  <si>
    <t>2530002333</t>
  </si>
  <si>
    <t>REQ2500016920</t>
  </si>
  <si>
    <t>833267</t>
  </si>
  <si>
    <t>2530002330</t>
  </si>
  <si>
    <t>REQ2500016850</t>
  </si>
  <si>
    <t>834263</t>
  </si>
  <si>
    <t>2530002331</t>
  </si>
  <si>
    <t>REQ2500017193</t>
  </si>
  <si>
    <t>838281</t>
  </si>
  <si>
    <t>2530002388</t>
  </si>
  <si>
    <t>REQ2500017331</t>
  </si>
  <si>
    <t>838293</t>
  </si>
  <si>
    <t>2530002387</t>
  </si>
  <si>
    <t>REQ2500017806</t>
  </si>
  <si>
    <t>840306</t>
  </si>
  <si>
    <t>2530002451</t>
  </si>
  <si>
    <t>REQ2500017856</t>
  </si>
  <si>
    <t>844282</t>
  </si>
  <si>
    <t>2530002501</t>
  </si>
  <si>
    <t>REQ2500018084</t>
  </si>
  <si>
    <t>845307</t>
  </si>
  <si>
    <t>2530002502</t>
  </si>
  <si>
    <t>REQ2500018155</t>
  </si>
  <si>
    <t>845329</t>
  </si>
  <si>
    <t>2530002525</t>
  </si>
  <si>
    <t>REQ2500018554</t>
  </si>
  <si>
    <t>852279</t>
  </si>
  <si>
    <t>2530002608</t>
  </si>
  <si>
    <t>REQ2500018928</t>
  </si>
  <si>
    <t>852286</t>
  </si>
  <si>
    <t>2530002609</t>
  </si>
  <si>
    <t>REQ2500019076</t>
  </si>
  <si>
    <t>856293</t>
  </si>
  <si>
    <t>2530002610</t>
  </si>
  <si>
    <t>REQ2500019320</t>
  </si>
  <si>
    <t>861283</t>
  </si>
  <si>
    <t>2530002689</t>
  </si>
  <si>
    <t>REQ2500019467</t>
  </si>
  <si>
    <t>862280</t>
  </si>
  <si>
    <t>2530002690</t>
  </si>
  <si>
    <t>REQ2500020016</t>
  </si>
  <si>
    <t>864369</t>
  </si>
  <si>
    <t>2530002787</t>
  </si>
  <si>
    <t>REQ2500020034</t>
  </si>
  <si>
    <t>865407</t>
  </si>
  <si>
    <t>2530002789 - 2530002788</t>
  </si>
  <si>
    <t>REQ2500020319</t>
  </si>
  <si>
    <t>867355</t>
  </si>
  <si>
    <t>2530002786</t>
  </si>
  <si>
    <t>REQ2500021057</t>
  </si>
  <si>
    <t>867504</t>
  </si>
  <si>
    <t>2530002849</t>
  </si>
  <si>
    <t>REQ2500020928</t>
  </si>
  <si>
    <t>REQ2500021226</t>
  </si>
  <si>
    <t>868282</t>
  </si>
  <si>
    <t>2530002848</t>
  </si>
  <si>
    <t>REQ2500021307</t>
  </si>
  <si>
    <t>REQ2500021410</t>
  </si>
  <si>
    <t>869301</t>
  </si>
  <si>
    <t>2530002866</t>
  </si>
  <si>
    <t>REQ2500021547</t>
  </si>
  <si>
    <t>869434</t>
  </si>
  <si>
    <t>2530002929</t>
  </si>
  <si>
    <t>REQ2500021521</t>
  </si>
  <si>
    <t>869436</t>
  </si>
  <si>
    <t>2530002930</t>
  </si>
  <si>
    <t>REQ2500021599</t>
  </si>
  <si>
    <t>869442</t>
  </si>
  <si>
    <t>2530002931</t>
  </si>
  <si>
    <t>REQ2500021637</t>
  </si>
  <si>
    <t>870307</t>
  </si>
  <si>
    <t>2530002977</t>
  </si>
  <si>
    <t>REQ2500021698</t>
  </si>
  <si>
    <t>870308</t>
  </si>
  <si>
    <t>2530002975</t>
  </si>
  <si>
    <t>REQ2500021685</t>
  </si>
  <si>
    <t>871289</t>
  </si>
  <si>
    <t>2530002976</t>
  </si>
  <si>
    <t>REQ2500021571</t>
  </si>
  <si>
    <t>PO2500011965</t>
  </si>
  <si>
    <t>PO2500011980</t>
  </si>
  <si>
    <t>2590014097</t>
  </si>
  <si>
    <t>PO2500011945</t>
  </si>
  <si>
    <t>REQ2500021501</t>
  </si>
  <si>
    <t>PO2500011890</t>
  </si>
  <si>
    <t>2590013863</t>
  </si>
  <si>
    <t>PO2500012101</t>
  </si>
  <si>
    <t>REQ2500021230</t>
  </si>
  <si>
    <t>PO2500011736</t>
  </si>
  <si>
    <t>2590013698</t>
  </si>
  <si>
    <t>PO2500012010</t>
  </si>
  <si>
    <t>2590014096</t>
  </si>
  <si>
    <t>REQ2500020851</t>
  </si>
  <si>
    <t>PO2500011938</t>
  </si>
  <si>
    <t>2590013829</t>
  </si>
  <si>
    <t>PO2500011939</t>
  </si>
  <si>
    <t>REQ2500020035</t>
  </si>
  <si>
    <t>PO2500011620</t>
  </si>
  <si>
    <t>2590013432</t>
  </si>
  <si>
    <t>PO2500011614</t>
  </si>
  <si>
    <t>2590013828</t>
  </si>
  <si>
    <t>PO2500011616</t>
  </si>
  <si>
    <t>2590013433</t>
  </si>
  <si>
    <t>PO2500011619</t>
  </si>
  <si>
    <t>2590013434</t>
  </si>
  <si>
    <t>PO2500011618</t>
  </si>
  <si>
    <t>2590013411</t>
  </si>
  <si>
    <t>REQ2500018934</t>
  </si>
  <si>
    <t>PO2500010888</t>
  </si>
  <si>
    <t>2590012807</t>
  </si>
  <si>
    <t>PO2500010696</t>
  </si>
  <si>
    <t>2590012569</t>
  </si>
  <si>
    <t>REQ2500018556</t>
  </si>
  <si>
    <t>PO2500011539</t>
  </si>
  <si>
    <t>2590013358</t>
  </si>
  <si>
    <t>PO2500011202</t>
  </si>
  <si>
    <t>2590013038</t>
  </si>
  <si>
    <t>PO2500011205</t>
  </si>
  <si>
    <t>PO2500011540</t>
  </si>
  <si>
    <t>2590013436</t>
  </si>
  <si>
    <t>PO2500010681</t>
  </si>
  <si>
    <t>2590012290</t>
  </si>
  <si>
    <t>PO2500011533</t>
  </si>
  <si>
    <t>REQ2500018282</t>
  </si>
  <si>
    <t>PO2500010948</t>
  </si>
  <si>
    <t>2590012809</t>
  </si>
  <si>
    <t>PO2500010947</t>
  </si>
  <si>
    <t>2590012823</t>
  </si>
  <si>
    <t>PO2500010593</t>
  </si>
  <si>
    <t>2590012572</t>
  </si>
  <si>
    <t>REQ2500018230</t>
  </si>
  <si>
    <t>PO2500010585</t>
  </si>
  <si>
    <t>PO2500010588</t>
  </si>
  <si>
    <t>2590012103</t>
  </si>
  <si>
    <t>PO2500010589</t>
  </si>
  <si>
    <t>2590012108</t>
  </si>
  <si>
    <t>REQ2500017810</t>
  </si>
  <si>
    <t>PO2500009991</t>
  </si>
  <si>
    <t>2590012429</t>
  </si>
  <si>
    <t>PO2500009992</t>
  </si>
  <si>
    <t>2590011879</t>
  </si>
  <si>
    <t>PO2500009987</t>
  </si>
  <si>
    <t>2590011780</t>
  </si>
  <si>
    <t>REQ2500017581</t>
  </si>
  <si>
    <t>PO2500010245</t>
  </si>
  <si>
    <t>PO2500010243</t>
  </si>
  <si>
    <t>2590011762</t>
  </si>
  <si>
    <t>PO2500011157</t>
  </si>
  <si>
    <t>REQ2500017567</t>
  </si>
  <si>
    <t>PO2500010725</t>
  </si>
  <si>
    <t>2590012924</t>
  </si>
  <si>
    <t>PO2500010700</t>
  </si>
  <si>
    <t>2590012570</t>
  </si>
  <si>
    <t>PO2500010665</t>
  </si>
  <si>
    <t>2590012568</t>
  </si>
  <si>
    <t>REQ2500017435</t>
  </si>
  <si>
    <t>PO2500009734</t>
  </si>
  <si>
    <t>2590011420</t>
  </si>
  <si>
    <t>PO2500010119</t>
  </si>
  <si>
    <t>2590011781</t>
  </si>
  <si>
    <t>PO2500009733</t>
  </si>
  <si>
    <t>2590011255</t>
  </si>
  <si>
    <t>REQ2500016942</t>
  </si>
  <si>
    <t>PO2500009670</t>
  </si>
  <si>
    <t>2590011694</t>
  </si>
  <si>
    <t>PO2500009671</t>
  </si>
  <si>
    <t>2590011778</t>
  </si>
  <si>
    <t>PO2500009672</t>
  </si>
  <si>
    <t>2590011469</t>
  </si>
  <si>
    <t>PO2500009673</t>
  </si>
  <si>
    <t>REQ2500016851</t>
  </si>
  <si>
    <t>PO2500009649</t>
  </si>
  <si>
    <t>PO2500009377</t>
  </si>
  <si>
    <t>PO2500009378</t>
  </si>
  <si>
    <t>2590011000</t>
  </si>
  <si>
    <t>REQ2500016700</t>
  </si>
  <si>
    <t>PO2500009286</t>
  </si>
  <si>
    <t>2590010998</t>
  </si>
  <si>
    <t>PO2500009247</t>
  </si>
  <si>
    <t>2590010829</t>
  </si>
  <si>
    <t>REQ2500016554</t>
  </si>
  <si>
    <t>PO2500009183</t>
  </si>
  <si>
    <t>2590010779</t>
  </si>
  <si>
    <t>PO2500009235</t>
  </si>
  <si>
    <t>2590010782</t>
  </si>
  <si>
    <t>PO2500009193</t>
  </si>
  <si>
    <t>2590010901</t>
  </si>
  <si>
    <t>PO2500009192</t>
  </si>
  <si>
    <t>2590011827</t>
  </si>
  <si>
    <t>REQ2500016276</t>
  </si>
  <si>
    <t>PO2500009570</t>
  </si>
  <si>
    <t>2590011374</t>
  </si>
  <si>
    <t>PO2500009105</t>
  </si>
  <si>
    <t>2590010996</t>
  </si>
  <si>
    <t>REQ2500016178</t>
  </si>
  <si>
    <t>PO2500009153</t>
  </si>
  <si>
    <t>2590010932</t>
  </si>
  <si>
    <t>PO2500009168</t>
  </si>
  <si>
    <t>2590010783</t>
  </si>
  <si>
    <t>PO2500009156</t>
  </si>
  <si>
    <t>2590011779</t>
  </si>
  <si>
    <t>PO2500009186</t>
  </si>
  <si>
    <t>2590010999</t>
  </si>
  <si>
    <t>REQ2500016104</t>
  </si>
  <si>
    <t>PO2500008894</t>
  </si>
  <si>
    <t>2590010781</t>
  </si>
  <si>
    <t>PO2500008895</t>
  </si>
  <si>
    <t>2590010389</t>
  </si>
  <si>
    <t>PO2500008924</t>
  </si>
  <si>
    <t>2590011626</t>
  </si>
  <si>
    <t>PO2500008897</t>
  </si>
  <si>
    <t>2590010618</t>
  </si>
  <si>
    <t>REQ2500015418</t>
  </si>
  <si>
    <t>PO2500008594</t>
  </si>
  <si>
    <t>2590010056</t>
  </si>
  <si>
    <t>PO2500008595</t>
  </si>
  <si>
    <t>PO2500008618</t>
  </si>
  <si>
    <t>2590011629</t>
  </si>
  <si>
    <t>PO2500008630</t>
  </si>
  <si>
    <t>REQ2500015194</t>
  </si>
  <si>
    <t>PO2500008530</t>
  </si>
  <si>
    <t>2590010780</t>
  </si>
  <si>
    <t>PO2500008524</t>
  </si>
  <si>
    <t>2590009958</t>
  </si>
  <si>
    <t>PO2500008535</t>
  </si>
  <si>
    <t>2590010052</t>
  </si>
  <si>
    <t>PO2500008538</t>
  </si>
  <si>
    <t>2590011621</t>
  </si>
  <si>
    <t>PO2500008525</t>
  </si>
  <si>
    <t>2590009956</t>
  </si>
  <si>
    <t>REQ2500014994</t>
  </si>
  <si>
    <t>PO2500008382</t>
  </si>
  <si>
    <t>2590010560</t>
  </si>
  <si>
    <t>PO2500008332</t>
  </si>
  <si>
    <t>2590012571</t>
  </si>
  <si>
    <t>PO2500008335</t>
  </si>
  <si>
    <t>2590009774</t>
  </si>
  <si>
    <t>REQ2500014786</t>
  </si>
  <si>
    <t>PO2500008161</t>
  </si>
  <si>
    <t>2590009585</t>
  </si>
  <si>
    <t>PO2500008467</t>
  </si>
  <si>
    <t>2590009999</t>
  </si>
  <si>
    <t>REQ2500014755</t>
  </si>
  <si>
    <t>PO2500008172</t>
  </si>
  <si>
    <t>2590009902</t>
  </si>
  <si>
    <t>PO2500008199</t>
  </si>
  <si>
    <t>2590009594</t>
  </si>
  <si>
    <t>PO2500008204</t>
  </si>
  <si>
    <t>2590009957</t>
  </si>
  <si>
    <t>REQ2500014289</t>
  </si>
  <si>
    <t>PO2500007905</t>
  </si>
  <si>
    <t>2590009263</t>
  </si>
  <si>
    <t>PO2500008257</t>
  </si>
  <si>
    <t>2590010391</t>
  </si>
  <si>
    <t>PO2500007912</t>
  </si>
  <si>
    <t>2590009860</t>
  </si>
  <si>
    <t>REQ2500014130</t>
  </si>
  <si>
    <t>PO2500007836</t>
  </si>
  <si>
    <t>2590009857</t>
  </si>
  <si>
    <t>PO2500007910</t>
  </si>
  <si>
    <t>2590009303</t>
  </si>
  <si>
    <t>PO2500008391</t>
  </si>
  <si>
    <t>2590009831</t>
  </si>
  <si>
    <t>REQ2500013918</t>
  </si>
  <si>
    <t>PO2500008079</t>
  </si>
  <si>
    <t>2590009486</t>
  </si>
  <si>
    <t>PO2500008012</t>
  </si>
  <si>
    <t>2590009485</t>
  </si>
  <si>
    <t>PO2500008080</t>
  </si>
  <si>
    <t>PO2500008020</t>
  </si>
  <si>
    <t>REQ2500013808</t>
  </si>
  <si>
    <t>PO2500007943</t>
  </si>
  <si>
    <t>2590009646</t>
  </si>
  <si>
    <t>PO2500008086</t>
  </si>
  <si>
    <t>2590009776</t>
  </si>
  <si>
    <t>PO2500007945</t>
  </si>
  <si>
    <t>2590009472</t>
  </si>
  <si>
    <t>PO2500007946</t>
  </si>
  <si>
    <t>2590009329</t>
  </si>
  <si>
    <t>PO2500008425</t>
  </si>
  <si>
    <t>2590009993</t>
  </si>
  <si>
    <t>REQ2500013770</t>
  </si>
  <si>
    <t>PO2500007662</t>
  </si>
  <si>
    <t>2590008857</t>
  </si>
  <si>
    <t>PO2500007661</t>
  </si>
  <si>
    <t>2590009210</t>
  </si>
  <si>
    <t>REQ2500013545</t>
  </si>
  <si>
    <t>PO2500007635</t>
  </si>
  <si>
    <t>2590008811</t>
  </si>
  <si>
    <t>PO2500007638</t>
  </si>
  <si>
    <t>REQ2500013544</t>
  </si>
  <si>
    <t>PO2500007555</t>
  </si>
  <si>
    <t>2590008762</t>
  </si>
  <si>
    <t>PO2500007553</t>
  </si>
  <si>
    <t>2530002492</t>
  </si>
  <si>
    <t>REQ2500013479</t>
  </si>
  <si>
    <t>PO2500007540</t>
  </si>
  <si>
    <t>2590008761</t>
  </si>
  <si>
    <t>PO2500007542</t>
  </si>
  <si>
    <t>2590008759</t>
  </si>
  <si>
    <t>REQ2500013197</t>
  </si>
  <si>
    <t>PO2500007363</t>
  </si>
  <si>
    <t>2590008567</t>
  </si>
  <si>
    <t>PO2500007362</t>
  </si>
  <si>
    <t>2590009118</t>
  </si>
  <si>
    <t>PO2500007895</t>
  </si>
  <si>
    <t>2590010221</t>
  </si>
  <si>
    <t>REQ2500012271</t>
  </si>
  <si>
    <t>PO2500006994</t>
  </si>
  <si>
    <t>2590008338</t>
  </si>
  <si>
    <t>PO2500006815</t>
  </si>
  <si>
    <t>2590010195</t>
  </si>
  <si>
    <t>PO2500006818</t>
  </si>
  <si>
    <t>2590008227</t>
  </si>
  <si>
    <t>REQ2500012270</t>
  </si>
  <si>
    <t>PO2500007314</t>
  </si>
  <si>
    <t>2590008575</t>
  </si>
  <si>
    <t>PO2500006816</t>
  </si>
  <si>
    <t>2590010191</t>
  </si>
  <si>
    <t>PO2500006819</t>
  </si>
  <si>
    <t>2590008228</t>
  </si>
  <si>
    <t>REQ2500012267</t>
  </si>
  <si>
    <t>PO2500007294</t>
  </si>
  <si>
    <t>2590008576</t>
  </si>
  <si>
    <t>PO2500006766</t>
  </si>
  <si>
    <t>2590010194</t>
  </si>
  <si>
    <t>PO2500006759</t>
  </si>
  <si>
    <t>2590007811</t>
  </si>
  <si>
    <t>REQ2500012041</t>
  </si>
  <si>
    <t>PO2500006641</t>
  </si>
  <si>
    <t>2590007840</t>
  </si>
  <si>
    <t>PO2500006898</t>
  </si>
  <si>
    <t>2590008337</t>
  </si>
  <si>
    <t>REQ2500011937</t>
  </si>
  <si>
    <t>PO2500006891</t>
  </si>
  <si>
    <t>2590008156</t>
  </si>
  <si>
    <t>PO2500008009</t>
  </si>
  <si>
    <t>2590009498</t>
  </si>
  <si>
    <t>REQ2500011918</t>
  </si>
  <si>
    <t>PO2500007000</t>
  </si>
  <si>
    <t>2590008268</t>
  </si>
  <si>
    <t>PO2500008550</t>
  </si>
  <si>
    <t>2590009959</t>
  </si>
  <si>
    <t>PO2500007072</t>
  </si>
  <si>
    <t>2590008269</t>
  </si>
  <si>
    <t>PO2500007075</t>
  </si>
  <si>
    <t>2590008334</t>
  </si>
  <si>
    <t>REQ2500011762</t>
  </si>
  <si>
    <t>PO2500006509</t>
  </si>
  <si>
    <t>2590007596</t>
  </si>
  <si>
    <t>PO2500006521</t>
  </si>
  <si>
    <t>REQ2500011729</t>
  </si>
  <si>
    <t>PO2500006728</t>
  </si>
  <si>
    <t>2590007812</t>
  </si>
  <si>
    <t>PO2500006727</t>
  </si>
  <si>
    <t>2590008026</t>
  </si>
  <si>
    <t>REQ2500011661</t>
  </si>
  <si>
    <t>PO2500007091</t>
  </si>
  <si>
    <t>2590008834</t>
  </si>
  <si>
    <t>PO2500006594</t>
  </si>
  <si>
    <t>2590008025</t>
  </si>
  <si>
    <t>REQ2500011607</t>
  </si>
  <si>
    <t>PO2500006771</t>
  </si>
  <si>
    <t>PO2500007069</t>
  </si>
  <si>
    <t>2590008272</t>
  </si>
  <si>
    <t>PO2500006995</t>
  </si>
  <si>
    <t>2590008267</t>
  </si>
  <si>
    <t>REQ2500011590</t>
  </si>
  <si>
    <t>PO2500006775</t>
  </si>
  <si>
    <t>1,000.00</t>
  </si>
  <si>
    <t>PO2500006774</t>
  </si>
  <si>
    <t>2590008335</t>
  </si>
  <si>
    <t>REQ2500011206</t>
  </si>
  <si>
    <t>PO2500006163</t>
  </si>
  <si>
    <t>PO2500006167</t>
  </si>
  <si>
    <t>2590007257</t>
  </si>
  <si>
    <t>REQ2500011125</t>
  </si>
  <si>
    <t>PO2500006093</t>
  </si>
  <si>
    <t>2590007049</t>
  </si>
  <si>
    <t>PO2500006179</t>
  </si>
  <si>
    <t>2590007346</t>
  </si>
  <si>
    <t>PO2500006097</t>
  </si>
  <si>
    <t>2590007255</t>
  </si>
  <si>
    <t>REQ2500010988</t>
  </si>
  <si>
    <t>PO2500006435</t>
  </si>
  <si>
    <t>2590008175</t>
  </si>
  <si>
    <t>PO2500006431</t>
  </si>
  <si>
    <t>2590007483</t>
  </si>
  <si>
    <t>PO2500006432</t>
  </si>
  <si>
    <t>2590007621</t>
  </si>
  <si>
    <t>PO2500006180</t>
  </si>
  <si>
    <t>2590007453</t>
  </si>
  <si>
    <t>PO2500006095</t>
  </si>
  <si>
    <t>2590007622</t>
  </si>
  <si>
    <t>PO2500006500</t>
  </si>
  <si>
    <t>2590007843</t>
  </si>
  <si>
    <t>PO2500006449</t>
  </si>
  <si>
    <t>2590007520</t>
  </si>
  <si>
    <t>REQ2500010888</t>
  </si>
  <si>
    <t>PO2500005968</t>
  </si>
  <si>
    <t>2590007099</t>
  </si>
  <si>
    <t>PO2500006195</t>
  </si>
  <si>
    <t>2590007430</t>
  </si>
  <si>
    <t>REQ2500010573</t>
  </si>
  <si>
    <t>PO2500006461</t>
  </si>
  <si>
    <t>2590008519</t>
  </si>
  <si>
    <t>PO2500006600</t>
  </si>
  <si>
    <t>2590009098</t>
  </si>
  <si>
    <t>PO2500006133</t>
  </si>
  <si>
    <t>2590009023</t>
  </si>
  <si>
    <t>REQ2500010418</t>
  </si>
  <si>
    <t>PO2500005999</t>
  </si>
  <si>
    <t>2590007097</t>
  </si>
  <si>
    <t>PO2500006003</t>
  </si>
  <si>
    <t>2590006991</t>
  </si>
  <si>
    <t>REQ2500010254</t>
  </si>
  <si>
    <t>PO2500005661</t>
  </si>
  <si>
    <t>2590006578</t>
  </si>
  <si>
    <t>PO2500005664</t>
  </si>
  <si>
    <t>2590006532</t>
  </si>
  <si>
    <t>REQ2500010201</t>
  </si>
  <si>
    <t>PO2500005659</t>
  </si>
  <si>
    <t>2590007101</t>
  </si>
  <si>
    <t>PO2500005653</t>
  </si>
  <si>
    <t>2590007259</t>
  </si>
  <si>
    <t>PO2500005658</t>
  </si>
  <si>
    <t>2590006537</t>
  </si>
  <si>
    <t>PO2500005656</t>
  </si>
  <si>
    <t>2590009047</t>
  </si>
  <si>
    <t>PO2500005657</t>
  </si>
  <si>
    <t>2590006539</t>
  </si>
  <si>
    <t>REQ2500010169</t>
  </si>
  <si>
    <t>PO2500006242</t>
  </si>
  <si>
    <t>2590007562</t>
  </si>
  <si>
    <t>PO2500006185</t>
  </si>
  <si>
    <t>2590007254</t>
  </si>
  <si>
    <t>REQ2500010086</t>
  </si>
  <si>
    <t>PO2500005501</t>
  </si>
  <si>
    <t>2590006450</t>
  </si>
  <si>
    <t>PO2500005509</t>
  </si>
  <si>
    <t>2590006535</t>
  </si>
  <si>
    <t>PO2500005511</t>
  </si>
  <si>
    <t>2590006534</t>
  </si>
  <si>
    <t>REQ2500010081</t>
  </si>
  <si>
    <t>PO2500005611</t>
  </si>
  <si>
    <t>2590006732</t>
  </si>
  <si>
    <t>PO2500005610</t>
  </si>
  <si>
    <t>2590006531</t>
  </si>
  <si>
    <t>REQ2500010052</t>
  </si>
  <si>
    <t>PO2500006592</t>
  </si>
  <si>
    <t>PO2500006792</t>
  </si>
  <si>
    <t>2590008014</t>
  </si>
  <si>
    <t>PO2500006595</t>
  </si>
  <si>
    <t>2590008023</t>
  </si>
  <si>
    <t>PO2500007781</t>
  </si>
  <si>
    <t>2590009074</t>
  </si>
  <si>
    <t>PO2500007783</t>
  </si>
  <si>
    <t>2590009172</t>
  </si>
  <si>
    <t>PO2500006793</t>
  </si>
  <si>
    <t>2590008013</t>
  </si>
  <si>
    <t>PO2500007765</t>
  </si>
  <si>
    <t>PO2500008489</t>
  </si>
  <si>
    <t>2590010663</t>
  </si>
  <si>
    <t>PO2500008491</t>
  </si>
  <si>
    <t>2590010392</t>
  </si>
  <si>
    <t>PO2500006441</t>
  </si>
  <si>
    <t>2590007521</t>
  </si>
  <si>
    <t>PO2500006591</t>
  </si>
  <si>
    <t>2590007874</t>
  </si>
  <si>
    <t>REQ2500009988</t>
  </si>
  <si>
    <t>PO2500005506</t>
  </si>
  <si>
    <t>2590006533</t>
  </si>
  <si>
    <t>PO2500005533</t>
  </si>
  <si>
    <t>2590006536</t>
  </si>
  <si>
    <t>REQ2500009951</t>
  </si>
  <si>
    <t>PO2500005970</t>
  </si>
  <si>
    <t>2590006994</t>
  </si>
  <si>
    <t>PO2500005971</t>
  </si>
  <si>
    <t>2590007048</t>
  </si>
  <si>
    <t>REQ2500009834</t>
  </si>
  <si>
    <t>PO2500005422</t>
  </si>
  <si>
    <t>2590008273</t>
  </si>
  <si>
    <t>PO2500005483</t>
  </si>
  <si>
    <t>2590006662</t>
  </si>
  <si>
    <t>PO2500005467</t>
  </si>
  <si>
    <t>2590006607</t>
  </si>
  <si>
    <t>PO2500005466</t>
  </si>
  <si>
    <t>2590006349</t>
  </si>
  <si>
    <t>REQ2500008849</t>
  </si>
  <si>
    <t>PO2500004914</t>
  </si>
  <si>
    <t>2590005785</t>
  </si>
  <si>
    <t>PO2500004916</t>
  </si>
  <si>
    <t>2590005956</t>
  </si>
  <si>
    <t>REQ2500008621</t>
  </si>
  <si>
    <t>PO2500004636</t>
  </si>
  <si>
    <t>2590005509</t>
  </si>
  <si>
    <t>PO2500004637</t>
  </si>
  <si>
    <t>2590005440</t>
  </si>
  <si>
    <t>REQ2500008181</t>
  </si>
  <si>
    <t>PO2500004393</t>
  </si>
  <si>
    <t>2590005435</t>
  </si>
  <si>
    <t>PO2500004696</t>
  </si>
  <si>
    <t>2590005708</t>
  </si>
  <si>
    <t>REQ2500007904</t>
  </si>
  <si>
    <t>PO2500004358</t>
  </si>
  <si>
    <t>2590005437</t>
  </si>
  <si>
    <t>PO2500004446</t>
  </si>
  <si>
    <t>PO2500004461</t>
  </si>
  <si>
    <t>2590005702</t>
  </si>
  <si>
    <t>REQ2500007271</t>
  </si>
  <si>
    <t>PO2500003998</t>
  </si>
  <si>
    <t>2590004815</t>
  </si>
  <si>
    <t>PO2500004468</t>
  </si>
  <si>
    <t>2590005298</t>
  </si>
  <si>
    <t>PO2500003995</t>
  </si>
  <si>
    <t>2590005228</t>
  </si>
  <si>
    <t>PO2500003996</t>
  </si>
  <si>
    <t>2590005960</t>
  </si>
  <si>
    <t>REQ2500007261</t>
  </si>
  <si>
    <t>PO2500003921</t>
  </si>
  <si>
    <t>2590004754</t>
  </si>
  <si>
    <t>REQ2500007481</t>
  </si>
  <si>
    <t>PO2500004017</t>
  </si>
  <si>
    <t>2590004840</t>
  </si>
  <si>
    <t>REQ2500007105</t>
  </si>
  <si>
    <t>PO2500004117</t>
  </si>
  <si>
    <t>2590004997</t>
  </si>
  <si>
    <t>REQ2500007221</t>
  </si>
  <si>
    <t>PO2500004281</t>
  </si>
  <si>
    <t>2590005436</t>
  </si>
  <si>
    <t>REQ2500008628</t>
  </si>
  <si>
    <t>PO2500004649</t>
  </si>
  <si>
    <t>2590009017</t>
  </si>
  <si>
    <t>REQ2500008644</t>
  </si>
  <si>
    <t>PO2500004712</t>
  </si>
  <si>
    <t>2590005709</t>
  </si>
  <si>
    <t>REQ2500008971</t>
  </si>
  <si>
    <t>PO2500004822</t>
  </si>
  <si>
    <t>2590005710</t>
  </si>
  <si>
    <t>REQ2500008649</t>
  </si>
  <si>
    <t>PO2500004844</t>
  </si>
  <si>
    <t>2590005789</t>
  </si>
  <si>
    <t>REQ2500009179</t>
  </si>
  <si>
    <t>PO2500004937</t>
  </si>
  <si>
    <t>2590005699</t>
  </si>
  <si>
    <t>REQ2500009098</t>
  </si>
  <si>
    <t>PO2500005003</t>
  </si>
  <si>
    <t>2590005899</t>
  </si>
  <si>
    <t>REQ2500008861</t>
  </si>
  <si>
    <t>PO2500005199</t>
  </si>
  <si>
    <t>2590006736</t>
  </si>
  <si>
    <t>REQ2500009722</t>
  </si>
  <si>
    <t>PO2500005284</t>
  </si>
  <si>
    <t>2590006936</t>
  </si>
  <si>
    <t>REQ2500009701</t>
  </si>
  <si>
    <t>PO2500005317</t>
  </si>
  <si>
    <t>2590008230</t>
  </si>
  <si>
    <t>REQ2500009562</t>
  </si>
  <si>
    <t>PO2500005581</t>
  </si>
  <si>
    <t>2590006999</t>
  </si>
  <si>
    <t>REQ2500010170</t>
  </si>
  <si>
    <t>PO2500005605</t>
  </si>
  <si>
    <t>2590006509</t>
  </si>
  <si>
    <t>REQ2500010168</t>
  </si>
  <si>
    <t>PO2500005606</t>
  </si>
  <si>
    <t>2590007094</t>
  </si>
  <si>
    <t>REQ2500010358</t>
  </si>
  <si>
    <t>PO2500005721</t>
  </si>
  <si>
    <t>2590007301</t>
  </si>
  <si>
    <t>REQ2500010549</t>
  </si>
  <si>
    <t>PO2500005962</t>
  </si>
  <si>
    <t>2590007810</t>
  </si>
  <si>
    <t>REQ2500010896</t>
  </si>
  <si>
    <t>PO2500005982</t>
  </si>
  <si>
    <t>2590007807</t>
  </si>
  <si>
    <t>REQ2500009899</t>
  </si>
  <si>
    <t>PO2500006028</t>
  </si>
  <si>
    <t>2590007022</t>
  </si>
  <si>
    <t>REQ2500010217</t>
  </si>
  <si>
    <t>PO2500006196</t>
  </si>
  <si>
    <t>2590007208</t>
  </si>
  <si>
    <t>REQ2500011435</t>
  </si>
  <si>
    <t>PO2500006312</t>
  </si>
  <si>
    <t>2590007347</t>
  </si>
  <si>
    <t>REQ2500011173</t>
  </si>
  <si>
    <t>PO2500006337</t>
  </si>
  <si>
    <t>2590008645</t>
  </si>
  <si>
    <t>REQ2500010997</t>
  </si>
  <si>
    <t>PO2500006425</t>
  </si>
  <si>
    <t>2590007519</t>
  </si>
  <si>
    <t>REQ2500011167</t>
  </si>
  <si>
    <t>PO2500006498</t>
  </si>
  <si>
    <t>REQ2500011431</t>
  </si>
  <si>
    <t>PO2500006524</t>
  </si>
  <si>
    <t>2590009794</t>
  </si>
  <si>
    <t>REQ2500011966</t>
  </si>
  <si>
    <t>PO2500006546</t>
  </si>
  <si>
    <t>2590008646</t>
  </si>
  <si>
    <t>REQ2500011754</t>
  </si>
  <si>
    <t>PO2500006637</t>
  </si>
  <si>
    <t>2590007842</t>
  </si>
  <si>
    <t>REQ2500011652</t>
  </si>
  <si>
    <t>PO2500006760</t>
  </si>
  <si>
    <t>2590007975</t>
  </si>
  <si>
    <t>REQ2500012222</t>
  </si>
  <si>
    <t>PO2500006869</t>
  </si>
  <si>
    <t>2590009352</t>
  </si>
  <si>
    <t>REQ2500011719</t>
  </si>
  <si>
    <t>PO2500006880</t>
  </si>
  <si>
    <t>2590009016</t>
  </si>
  <si>
    <t>REQ2500011917</t>
  </si>
  <si>
    <t>PO2500006906</t>
  </si>
  <si>
    <t>2590008339</t>
  </si>
  <si>
    <t>REQ2500012488</t>
  </si>
  <si>
    <t>PO2500006949</t>
  </si>
  <si>
    <t>2590008498</t>
  </si>
  <si>
    <t>REQ2500012563</t>
  </si>
  <si>
    <t>PO2500006963</t>
  </si>
  <si>
    <t>2590008336</t>
  </si>
  <si>
    <t>REQ2500011649</t>
  </si>
  <si>
    <t>PO2500007002</t>
  </si>
  <si>
    <t>2590009701</t>
  </si>
  <si>
    <t>REQ2500012511</t>
  </si>
  <si>
    <t>PO2500007159</t>
  </si>
  <si>
    <t>2590008812</t>
  </si>
  <si>
    <t>REQ2500012353</t>
  </si>
  <si>
    <t>PO2500007289</t>
  </si>
  <si>
    <t>2590008760</t>
  </si>
  <si>
    <t>REQ2500013239</t>
  </si>
  <si>
    <t>PO2500007380</t>
  </si>
  <si>
    <t>2590009354</t>
  </si>
  <si>
    <t>REQ2500013242</t>
  </si>
  <si>
    <t>PO2500007383</t>
  </si>
  <si>
    <t>2590009353</t>
  </si>
  <si>
    <t>REQ2500013231</t>
  </si>
  <si>
    <t>PO2500007388</t>
  </si>
  <si>
    <t>2590009700</t>
  </si>
  <si>
    <t>REQ2500013396</t>
  </si>
  <si>
    <t>PO2500007459</t>
  </si>
  <si>
    <t>2590008763</t>
  </si>
  <si>
    <t>REQ2500012427</t>
  </si>
  <si>
    <t>PO2500007464</t>
  </si>
  <si>
    <t>REQ2500012962</t>
  </si>
  <si>
    <t>PO2500007466</t>
  </si>
  <si>
    <t>2590009580</t>
  </si>
  <si>
    <t>REQ2500012429</t>
  </si>
  <si>
    <t>PO2500007468</t>
  </si>
  <si>
    <t>REQ2500013430</t>
  </si>
  <si>
    <t>PO2500007481</t>
  </si>
  <si>
    <t>2590009984</t>
  </si>
  <si>
    <t>REQ2500012599</t>
  </si>
  <si>
    <t>PO2500007526</t>
  </si>
  <si>
    <t>REQ2500013451</t>
  </si>
  <si>
    <t>PO2500007566</t>
  </si>
  <si>
    <t>2590009983</t>
  </si>
  <si>
    <t>REQ2500013414</t>
  </si>
  <si>
    <t>PO2500007631</t>
  </si>
  <si>
    <t>2590011271</t>
  </si>
  <si>
    <t>REQ2500013763</t>
  </si>
  <si>
    <t>PO2500007693</t>
  </si>
  <si>
    <t>2590010725</t>
  </si>
  <si>
    <t>REQ2500013813</t>
  </si>
  <si>
    <t>PO2500007695</t>
  </si>
  <si>
    <t>2590009099</t>
  </si>
  <si>
    <t>REQ2500013805</t>
  </si>
  <si>
    <t>PO2500007701</t>
  </si>
  <si>
    <t>2590009073</t>
  </si>
  <si>
    <t>REQ2500013906</t>
  </si>
  <si>
    <t>PO2500007732</t>
  </si>
  <si>
    <t>2590009854</t>
  </si>
  <si>
    <t>REQ2500013826</t>
  </si>
  <si>
    <t>PO2500007753</t>
  </si>
  <si>
    <t>2590009302</t>
  </si>
  <si>
    <t>REQ2500014092</t>
  </si>
  <si>
    <t>PO2500007801</t>
  </si>
  <si>
    <t>2590009331</t>
  </si>
  <si>
    <t>REQ2500014241</t>
  </si>
  <si>
    <t>PO2500007879</t>
  </si>
  <si>
    <t>2590009960</t>
  </si>
  <si>
    <t>REQ2500013940</t>
  </si>
  <si>
    <t>PO2500007917</t>
  </si>
  <si>
    <t>2590009414</t>
  </si>
  <si>
    <t>REQ2500014003</t>
  </si>
  <si>
    <t>PO2500007919</t>
  </si>
  <si>
    <t>2590009468</t>
  </si>
  <si>
    <t>REQ2500013824</t>
  </si>
  <si>
    <t>PO2500007922</t>
  </si>
  <si>
    <t>2590009406</t>
  </si>
  <si>
    <t>REQ2500014198</t>
  </si>
  <si>
    <t>PO2500007931</t>
  </si>
  <si>
    <t>2590010311</t>
  </si>
  <si>
    <t>REQ2500014582</t>
  </si>
  <si>
    <t>PO2500008025</t>
  </si>
  <si>
    <t>2590009405</t>
  </si>
  <si>
    <t>REQ2500014365</t>
  </si>
  <si>
    <t>PO2500008033</t>
  </si>
  <si>
    <t>2590009961</t>
  </si>
  <si>
    <t>REQ2500014354</t>
  </si>
  <si>
    <t>PO2500008057</t>
  </si>
  <si>
    <t>REQ2500014356</t>
  </si>
  <si>
    <t>PO2500008142</t>
  </si>
  <si>
    <t>2590009808</t>
  </si>
  <si>
    <t>REQ2500014531</t>
  </si>
  <si>
    <t>PO2500008188</t>
  </si>
  <si>
    <t>2590009775</t>
  </si>
  <si>
    <t>REQ2500012561</t>
  </si>
  <si>
    <t>PO2500008189</t>
  </si>
  <si>
    <t>2590009579</t>
  </si>
  <si>
    <t>REQ2500014357</t>
  </si>
  <si>
    <t>PO2500008209</t>
  </si>
  <si>
    <t>2590010722</t>
  </si>
  <si>
    <t>REQ2500014881</t>
  </si>
  <si>
    <t>PO2500008228</t>
  </si>
  <si>
    <t>2590009702</t>
  </si>
  <si>
    <t>REQ2500015033</t>
  </si>
  <si>
    <t>PO2500008330</t>
  </si>
  <si>
    <t>REQ2500013780</t>
  </si>
  <si>
    <t>PO2500008336</t>
  </si>
  <si>
    <t>2590012164</t>
  </si>
  <si>
    <t>REQ2500014938</t>
  </si>
  <si>
    <t>PO2500008355</t>
  </si>
  <si>
    <t>2590009787</t>
  </si>
  <si>
    <t>REQ2500015338</t>
  </si>
  <si>
    <t>PO2500008461</t>
  </si>
  <si>
    <t>2590009938</t>
  </si>
  <si>
    <t>REQ2500015406</t>
  </si>
  <si>
    <t>PO2500008531</t>
  </si>
  <si>
    <t>2590009962</t>
  </si>
  <si>
    <t>REQ2500015031</t>
  </si>
  <si>
    <t>PO2500008546</t>
  </si>
  <si>
    <t>2590010001</t>
  </si>
  <si>
    <t>REQ2500015444</t>
  </si>
  <si>
    <t>PO2500008551</t>
  </si>
  <si>
    <t>2590010393</t>
  </si>
  <si>
    <t>REQ2500015715</t>
  </si>
  <si>
    <t>PO2500008668</t>
  </si>
  <si>
    <t>REQ2500015670</t>
  </si>
  <si>
    <t>PO2500008681</t>
  </si>
  <si>
    <t>2590010390</t>
  </si>
  <si>
    <t>REQ2500015924</t>
  </si>
  <si>
    <t>PO2500008755</t>
  </si>
  <si>
    <t>2590010427</t>
  </si>
  <si>
    <t>REQ2500015983</t>
  </si>
  <si>
    <t>PO2500008798</t>
  </si>
  <si>
    <t>2590011154</t>
  </si>
  <si>
    <t>REQ2500015992</t>
  </si>
  <si>
    <t>PO2500008801</t>
  </si>
  <si>
    <t>2590012045</t>
  </si>
  <si>
    <t>REQ2500015995</t>
  </si>
  <si>
    <t>PO2500008803</t>
  </si>
  <si>
    <t>2590011975</t>
  </si>
  <si>
    <t>REQ2500015991</t>
  </si>
  <si>
    <t>PO2500008805</t>
  </si>
  <si>
    <t>2590011051</t>
  </si>
  <si>
    <t>REQ2500015987</t>
  </si>
  <si>
    <t>PO2500008807</t>
  </si>
  <si>
    <t>2590011053</t>
  </si>
  <si>
    <t>REQ2500015933</t>
  </si>
  <si>
    <t>PO2500008809</t>
  </si>
  <si>
    <t>2590011155</t>
  </si>
  <si>
    <t>REQ2500015931</t>
  </si>
  <si>
    <t>PO2500008811</t>
  </si>
  <si>
    <t>2590011050</t>
  </si>
  <si>
    <t>REQ2500015929</t>
  </si>
  <si>
    <t>PO2500008813</t>
  </si>
  <si>
    <t>REQ2500015930</t>
  </si>
  <si>
    <t>PO2500008816</t>
  </si>
  <si>
    <t>2590011195</t>
  </si>
  <si>
    <t>REQ2500015927</t>
  </si>
  <si>
    <t>PO2500008818</t>
  </si>
  <si>
    <t>2590011196</t>
  </si>
  <si>
    <t>REQ2500015979</t>
  </si>
  <si>
    <t>PO2500008838</t>
  </si>
  <si>
    <t>2590010337</t>
  </si>
  <si>
    <t>REQ2500015806</t>
  </si>
  <si>
    <t>PO2500009069</t>
  </si>
  <si>
    <t>2590013774</t>
  </si>
  <si>
    <t>REQ2500015795</t>
  </si>
  <si>
    <t>PO2500009070</t>
  </si>
  <si>
    <t>2590012394</t>
  </si>
  <si>
    <t>REQ2500015401</t>
  </si>
  <si>
    <t>PO2500009073</t>
  </si>
  <si>
    <t>2590013732</t>
  </si>
  <si>
    <t>REQ2500015440</t>
  </si>
  <si>
    <t>PO2500009127</t>
  </si>
  <si>
    <t>2590011437</t>
  </si>
  <si>
    <t>REQ2500015424</t>
  </si>
  <si>
    <t>PO2500009129</t>
  </si>
  <si>
    <t>2590011438, 2590011439, 2590011440, 2590011441</t>
  </si>
  <si>
    <t>REQ2500015637</t>
  </si>
  <si>
    <t>PO2500009209</t>
  </si>
  <si>
    <t>2590012824</t>
  </si>
  <si>
    <t>REQ2500016613</t>
  </si>
  <si>
    <t>PO2500009237</t>
  </si>
  <si>
    <t>2590012100</t>
  </si>
  <si>
    <t>REQ2500016616</t>
  </si>
  <si>
    <t>PO2500009240</t>
  </si>
  <si>
    <t>2590013293</t>
  </si>
  <si>
    <t>REQ2500016315</t>
  </si>
  <si>
    <t>PO2500009310</t>
  </si>
  <si>
    <t>2590012151</t>
  </si>
  <si>
    <t>REQ2500016780</t>
  </si>
  <si>
    <t>PO2500009349</t>
  </si>
  <si>
    <t>2590013535</t>
  </si>
  <si>
    <t>REQ2500017070</t>
  </si>
  <si>
    <t>PO2500009513</t>
  </si>
  <si>
    <t>2590011153</t>
  </si>
  <si>
    <t>REQ2500017194</t>
  </si>
  <si>
    <t>PO2500009620</t>
  </si>
  <si>
    <t>2590011471</t>
  </si>
  <si>
    <t>REQ2500017361</t>
  </si>
  <si>
    <t>PO2500009654</t>
  </si>
  <si>
    <t>2590012695</t>
  </si>
  <si>
    <t>REQ2500016026</t>
  </si>
  <si>
    <t>PO2500009693</t>
  </si>
  <si>
    <t>2590012101</t>
  </si>
  <si>
    <t>REQ2500017647</t>
  </si>
  <si>
    <t>PO2500009898</t>
  </si>
  <si>
    <t>REQ2500017336</t>
  </si>
  <si>
    <t>PO2500010114</t>
  </si>
  <si>
    <t>2590011582</t>
  </si>
  <si>
    <t>REQ2500018257</t>
  </si>
  <si>
    <t>PO2500010211</t>
  </si>
  <si>
    <t>2590011947</t>
  </si>
  <si>
    <t>REQ2500017829</t>
  </si>
  <si>
    <t>PO2500010248</t>
  </si>
  <si>
    <t>2590012427</t>
  </si>
  <si>
    <t>REQ2500018255</t>
  </si>
  <si>
    <t>PO2500010329</t>
  </si>
  <si>
    <t>2590011974</t>
  </si>
  <si>
    <t>REQ2500018413</t>
  </si>
  <si>
    <t>PO2500010597</t>
  </si>
  <si>
    <t>2590012340</t>
  </si>
  <si>
    <t>REQ2500018731</t>
  </si>
  <si>
    <t>PO2500010659</t>
  </si>
  <si>
    <t>2590012150</t>
  </si>
  <si>
    <t>REQ2500018920</t>
  </si>
  <si>
    <t>PO2500010702</t>
  </si>
  <si>
    <t>2590012292</t>
  </si>
  <si>
    <t>REQ2500018780</t>
  </si>
  <si>
    <t>PO2500010703</t>
  </si>
  <si>
    <t>2590012339</t>
  </si>
  <si>
    <t>REQ2500018621</t>
  </si>
  <si>
    <t>PO2500010720</t>
  </si>
  <si>
    <t>2590012935</t>
  </si>
  <si>
    <t>REQ2500018980</t>
  </si>
  <si>
    <t>PO2500010724</t>
  </si>
  <si>
    <t>2590012426</t>
  </si>
  <si>
    <t>REQ2500018744</t>
  </si>
  <si>
    <t>PO2500010736</t>
  </si>
  <si>
    <t>REQ2500018087</t>
  </si>
  <si>
    <t>PO2500010746</t>
  </si>
  <si>
    <t>REQ2500019124</t>
  </si>
  <si>
    <t>PO2500010791</t>
  </si>
  <si>
    <t>2590012573</t>
  </si>
  <si>
    <t>REQ2500019057</t>
  </si>
  <si>
    <t>PO2500010802</t>
  </si>
  <si>
    <t>2590013149</t>
  </si>
  <si>
    <t>REQ2500019351</t>
  </si>
  <si>
    <t>PO2500010918</t>
  </si>
  <si>
    <t>2590012923</t>
  </si>
  <si>
    <t>REQ2500019161</t>
  </si>
  <si>
    <t>PO2500010984</t>
  </si>
  <si>
    <t>REQ2500018779</t>
  </si>
  <si>
    <t>PO2500011011</t>
  </si>
  <si>
    <t>2590012808</t>
  </si>
  <si>
    <t>REQ2500019412</t>
  </si>
  <si>
    <t>PO2500011016</t>
  </si>
  <si>
    <t>REQ2500019318</t>
  </si>
  <si>
    <t>PO2500011161</t>
  </si>
  <si>
    <t>2590013629</t>
  </si>
  <si>
    <t>REQ2500019840</t>
  </si>
  <si>
    <t>PO2500011247</t>
  </si>
  <si>
    <t>2590013152</t>
  </si>
  <si>
    <t>REQ2500020199</t>
  </si>
  <si>
    <t>PO2500011269</t>
  </si>
  <si>
    <t>2590014072</t>
  </si>
  <si>
    <t>REQ2500019434</t>
  </si>
  <si>
    <t>PO2500011344</t>
  </si>
  <si>
    <t>2590013116</t>
  </si>
  <si>
    <t>REQ2500020768</t>
  </si>
  <si>
    <t>PO2500011568</t>
  </si>
  <si>
    <t>REQ2500020767</t>
  </si>
  <si>
    <t>PO2500011604</t>
  </si>
  <si>
    <t>2590013435</t>
  </si>
  <si>
    <t>REQ2500018104</t>
  </si>
  <si>
    <t>PO2500011726</t>
  </si>
  <si>
    <t>2590013827</t>
  </si>
  <si>
    <t>REQ2500021495</t>
  </si>
  <si>
    <t>PO2500011884</t>
  </si>
  <si>
    <t>2590013946</t>
  </si>
  <si>
    <t>REQ2500020850</t>
  </si>
  <si>
    <t>PO2500011937</t>
  </si>
  <si>
    <t>REQ2500021200</t>
  </si>
  <si>
    <t>PO2500011944</t>
  </si>
  <si>
    <t>2590013947</t>
  </si>
  <si>
    <t>REQ2500021731</t>
  </si>
  <si>
    <t>PO2500012085</t>
  </si>
  <si>
    <t>REQ2500021655</t>
  </si>
  <si>
    <t>PO2500012112</t>
  </si>
  <si>
    <t>REQ2500021779</t>
  </si>
  <si>
    <t>PO2500012260</t>
  </si>
  <si>
    <t>REQ2500021721</t>
  </si>
  <si>
    <t>PO2500012355</t>
  </si>
  <si>
    <t>REQ2500021517</t>
  </si>
  <si>
    <t>REQ2500021396</t>
  </si>
  <si>
    <t>PO2500012209</t>
  </si>
  <si>
    <t>REQ2500020769</t>
  </si>
  <si>
    <t>REQ2500020652</t>
  </si>
  <si>
    <t>PO2500012349</t>
  </si>
  <si>
    <t>REQ2500020318</t>
  </si>
  <si>
    <t>REQ2500020135</t>
  </si>
  <si>
    <t>REQ2500020000</t>
  </si>
  <si>
    <t>REQ2500019629</t>
  </si>
  <si>
    <t>REQ2500018422</t>
  </si>
  <si>
    <t>REQ2500018292</t>
  </si>
  <si>
    <t>REQ2500017156</t>
  </si>
  <si>
    <t>REQ2500016279</t>
  </si>
  <si>
    <t>REQ2500015288</t>
  </si>
  <si>
    <t>REQ2500015152</t>
  </si>
  <si>
    <t>REQ2500015151</t>
  </si>
  <si>
    <t>REQ2500015150</t>
  </si>
  <si>
    <t>REQ2500015148</t>
  </si>
  <si>
    <t>REQ2500015143</t>
  </si>
  <si>
    <t>REQ2500015029</t>
  </si>
  <si>
    <t>REQ2500015018</t>
  </si>
  <si>
    <t>REQ2500014366</t>
  </si>
  <si>
    <t>REQ2500013541</t>
  </si>
  <si>
    <t>REQ2500013423</t>
  </si>
  <si>
    <t>REQ2500013225</t>
  </si>
  <si>
    <t>REQ2500012144</t>
  </si>
  <si>
    <t>REQ2500012045</t>
  </si>
  <si>
    <t>REQ2500012009</t>
  </si>
  <si>
    <t>REQ2500011769</t>
  </si>
  <si>
    <t>REQ2500011143</t>
  </si>
  <si>
    <t>REQ2500010311</t>
  </si>
  <si>
    <t>REQ2500010177</t>
  </si>
  <si>
    <t>REQ2500010098</t>
  </si>
  <si>
    <t>REQ2500009564</t>
  </si>
  <si>
    <t>REQ2500009448</t>
  </si>
  <si>
    <t>REQ2500009191</t>
  </si>
  <si>
    <t>REQ2500008492</t>
  </si>
  <si>
    <t>REQ2500006927</t>
  </si>
  <si>
    <t>REQ2500006926</t>
  </si>
  <si>
    <t>REQ2500010584</t>
  </si>
  <si>
    <t>PO2500005775</t>
  </si>
  <si>
    <t>REQ2500022992</t>
  </si>
  <si>
    <t>REQ2500022901</t>
  </si>
  <si>
    <t>REQ2500022803</t>
  </si>
  <si>
    <t>REQ2500022658</t>
  </si>
  <si>
    <t>REQ2500022568</t>
  </si>
  <si>
    <t>REQ2500022458</t>
  </si>
  <si>
    <t>REQ2500022379</t>
  </si>
  <si>
    <t>REQ2500022054</t>
  </si>
  <si>
    <t>Creation_Date</t>
  </si>
  <si>
    <t>REQ2500025077</t>
  </si>
  <si>
    <t>SILICON SEALANT UNIVERSAL 280ML, CLEAR, MODEL NO. 1200G, PACKING: 24PC/CTN, MAKE: DOLPHIN, ORIGIN: UAE</t>
  </si>
  <si>
    <t>Approved</t>
  </si>
  <si>
    <t>REQ2500025073</t>
  </si>
  <si>
    <t>SILICON SEALANT ANTI-FUNGAL 320ML, WHITE, PACKING: 24PCS / CTN, MAKE: DOLPHIN, ORIGIN: UAE</t>
  </si>
  <si>
    <t>882421</t>
  </si>
  <si>
    <t>REQ2500024933</t>
  </si>
  <si>
    <t>CAPACITOR, 7.5UF 400VAC, ROUND TYPE, MAKE: SEIKA, ORIGIN: TAIWAN</t>
  </si>
  <si>
    <t>REQ2500024923</t>
  </si>
  <si>
    <t>CANVAS CLOTH 6 OZ, 36" X 20 YARD / ROLL, MAKE: TAKA, ORIGIN: PAKISTAN</t>
  </si>
  <si>
    <t>882395</t>
  </si>
  <si>
    <t>REQ2500024858</t>
  </si>
  <si>
    <t>CANVAS CLOTH / FOSTER CLOTH, ORIGIN: UAE</t>
  </si>
  <si>
    <t>PO2500014168</t>
  </si>
  <si>
    <t>REQ2500024857</t>
  </si>
  <si>
    <t>PAINT BRUSH 2", WHITE BRISTLESS, MODEL NO. PB2WC, MAKE: CLARKE</t>
  </si>
  <si>
    <t>882379</t>
  </si>
  <si>
    <t>REQ2500024838</t>
  </si>
  <si>
    <t>PRINTING OF LOG BOOK NCR 1 + 3, 3 COLOUR PRINTING, 50SET PER BOOK, SIZE: A4</t>
  </si>
  <si>
    <t>REQ2500024679</t>
  </si>
  <si>
    <t>ALUMINIUM FILTER 490 X 490 X 20MM (W X H X T), GRADE: G2, FRAME: GI, MODEL: CAFG12, MAKE: EXCELAIR</t>
  </si>
  <si>
    <t>PO2500014024</t>
  </si>
  <si>
    <t>REQ2500024648</t>
  </si>
  <si>
    <t>BOLT 8MM X 1 1/2, WITH NUT AND WASHER, ORIGIN: CHINA</t>
  </si>
  <si>
    <t>PO2500014069</t>
  </si>
  <si>
    <t>REQ2500024638</t>
  </si>
  <si>
    <t>THERMAL OVERLOAD RELAY 9-13A TESYSD CL10A, PART NO. LRD16, MAKE: SCHNEIDER ELECTRIC, ORIGIN: FRANCE</t>
  </si>
  <si>
    <t>882351</t>
  </si>
  <si>
    <t>REQ2500024634</t>
  </si>
  <si>
    <t>PAINT RADIATOR / ROLLER REFILLS 4" (REFILLS ONLY), MAKE: CLARKE</t>
  </si>
  <si>
    <t>883331</t>
  </si>
  <si>
    <t>REQ2500024600</t>
  </si>
  <si>
    <t>THERMOSTAT, BUTTON TYPE, MODEL NO. PAR 21MAA, MAKE: MITSUBISHI</t>
  </si>
  <si>
    <t>PO2500014010</t>
  </si>
  <si>
    <t>REQ2500024495</t>
  </si>
  <si>
    <t>CANVAS COATING GEE FIX 30/36 (EQUIVALENT TO FOSTER 30/36), PACKING: 20KG / DRUM, ORIGIN: UAE</t>
  </si>
  <si>
    <t>REQ2500024488</t>
  </si>
  <si>
    <t>FOAM SPRAY 500ML, PACKING: 12PC / CTN, MAKE: ASMACO</t>
  </si>
  <si>
    <t>882326</t>
  </si>
  <si>
    <t>REQ2500024456</t>
  </si>
  <si>
    <t>V BELT A-65, MAKE: BLACK BELT, ORIGIN: KOREA</t>
  </si>
  <si>
    <t>PO2500013946</t>
  </si>
  <si>
    <t>REQ2500024429</t>
  </si>
  <si>
    <t>BAG FILTER 590 (W) X 890 (H) X 390MM (D), 6P, ULTRA PAC, EFF-F7/85%, FRAME: GI/20MM, EXCELAIR, ORIGIN: UAE</t>
  </si>
  <si>
    <t>PO2500013900</t>
  </si>
  <si>
    <t>REQ2500024364</t>
  </si>
  <si>
    <t>RUBBER COUPLING, SW-225, MAKE: RATHI, ORIGIN: INDIA</t>
  </si>
  <si>
    <t>PO2500013965</t>
  </si>
  <si>
    <t>REQ2500024342</t>
  </si>
  <si>
    <t>BEARING 6201 2ZCM, BRAND: NSK, ORIGIN: POLAND</t>
  </si>
  <si>
    <t>REQ2500024282</t>
  </si>
  <si>
    <t>MILNEX PAPER 7 MIL (0.19MM) WIDTH 1000MM, ORIGIN: UAE / INDIA</t>
  </si>
  <si>
    <t>REQ2500024264</t>
  </si>
  <si>
    <t>GAS CHARGING VALVE 1/4" X .35MM X 10CM, ORIGIN: INDIA</t>
  </si>
  <si>
    <t>877442</t>
  </si>
  <si>
    <t>REQ2500024224</t>
  </si>
  <si>
    <t>ACOUSTIC INSULATION, ACOUSTIPIUS DUCT LINER WITH BLACK ALUMINUM FOIL FACING DENSITY: 25 KG/M3, 10 MM THICK X 1.2 MTR X 20 MTR (24 M2/ROLL), MAKE: THERMOBREAK</t>
  </si>
  <si>
    <t>REQ2500024177</t>
  </si>
  <si>
    <t>SPLIT WALL 18000BTU F R410 HI-EER, ROTARY, MODEL NO. 123RASGA18-FD, MAKE: GENERAL, ORIGIN: THAILAND</t>
  </si>
  <si>
    <t>PO2500013833</t>
  </si>
  <si>
    <t>REQ2500024165</t>
  </si>
  <si>
    <t>THINNER, PACKING: 5 LTR./CAN, MAKE: JOTUN, ORIGIN:UAE</t>
  </si>
  <si>
    <t>PO2500013975</t>
  </si>
  <si>
    <t>REQ2500024146</t>
  </si>
  <si>
    <t>WINDING WIRE 0.200MM, MAKE: RR/SHRAMIK, ORIGIN: INDIA</t>
  </si>
  <si>
    <t>REQ2500024133</t>
  </si>
  <si>
    <t>EXPANSION JOINT UNION 1 1/4” NPT, GI PN16, FLEXIBLE CONNECTOR, RUBBER, ORIGIN: CANADA</t>
  </si>
  <si>
    <t>PO2500013743</t>
  </si>
  <si>
    <t>REQ2500024104</t>
  </si>
  <si>
    <t>V BELT B-71, MAKE: DUNLOP, ORIGIN: KOREA</t>
  </si>
  <si>
    <t>PO2500013952</t>
  </si>
  <si>
    <t>REQ2500024103</t>
  </si>
  <si>
    <t>FREON GAS R407C, PACKING: 11.3 KGS / CYL, MAKE: FLORON</t>
  </si>
  <si>
    <t>877425</t>
  </si>
  <si>
    <t>REQ2500024045</t>
  </si>
  <si>
    <t>SPRAY PAINT 400ML, DARK BLUE, PACKING: 12PC / CTN, MAKE: ASMACO</t>
  </si>
  <si>
    <t>PO2500013980</t>
  </si>
  <si>
    <t>REQ2500023977</t>
  </si>
  <si>
    <t>REQ2500023974</t>
  </si>
  <si>
    <t>877410</t>
  </si>
  <si>
    <t>REQ2500023958</t>
  </si>
  <si>
    <t>FLEXIBLE CABLE 5C X 1.5SQMM, 100 YARD/ROLL, WHITE, MAKE: MESC, ORIGIN: UAE</t>
  </si>
  <si>
    <t>PO2500013625</t>
  </si>
  <si>
    <t>REQ2500023956</t>
  </si>
  <si>
    <t>CONTACTOR 9A 1NO+1NC 24V COIL, 50/60HZ, MODEL NO. LC1D09B7, MAKE: SCHNEIDER ELECTRIC</t>
  </si>
  <si>
    <t>877399</t>
  </si>
  <si>
    <t>REQ2500023856</t>
  </si>
  <si>
    <t>OVERLOAD RELAY TESYSD 30 - 40A CL10A, PART NO. LRD340, MAKE: SCHNEIDER ELECTRIC, ORIGIN: FRANCE</t>
  </si>
  <si>
    <t>REQ2500023855</t>
  </si>
  <si>
    <t>BEARING 6206.ZZCM, MAKE: NSK, ORIGIN: POLAND</t>
  </si>
  <si>
    <t>877388</t>
  </si>
  <si>
    <t>REQ2500023758</t>
  </si>
  <si>
    <t>DP SWITCH 20A WITH NEON, MODEL: VX1060, MAKE: VOLEX, ORIGIN: UK</t>
  </si>
  <si>
    <t>877366</t>
  </si>
  <si>
    <t>REQ2500023690</t>
  </si>
  <si>
    <t>PANEL INDICATOR WHITE 220VAC/DC, COLOUR: GREEN, PART NO. AD22-22DS, MAKE: GIFFEX</t>
  </si>
  <si>
    <t>REQ2500023653</t>
  </si>
  <si>
    <t>COMPRESSOR SCROLL 3PH 380 - 420V 50Hz, R407C / R22 / R134A, MODEL NO. ZR125KCE-TFD-522, MAKE: COPELAND, ORIGIN: THAILAND</t>
  </si>
  <si>
    <t>REQ2500023608</t>
  </si>
  <si>
    <t>FLEXIBLE DUCT CONNECTOR, SIZE: 3" X 1-3/4" MAKE: CRAYFLEX</t>
  </si>
  <si>
    <t>REQ2500023583</t>
  </si>
  <si>
    <t>CHILLED WATER ANALYSIS AND REPORT, LOCATION AS PER ANNEXURE</t>
  </si>
  <si>
    <t>PO2500013326</t>
  </si>
  <si>
    <t>REQ2500023555</t>
  </si>
  <si>
    <t>BOX FILE, NARROW FS, MODEL 1105, (1 X 48), MAKE: LEITZ, ORIGIN: POLAND</t>
  </si>
  <si>
    <t>877334</t>
  </si>
  <si>
    <t>REQ2500023476</t>
  </si>
  <si>
    <t>PO2500013284</t>
  </si>
  <si>
    <t>REQ2500023417</t>
  </si>
  <si>
    <t>BEARING 6202-1/22RS, MAKE: RSDAK</t>
  </si>
  <si>
    <t>875418</t>
  </si>
  <si>
    <t>REQ2500023332</t>
  </si>
  <si>
    <t>HIGH PRESSURE SWITCH, WIRE TYPE 300-425PSI, ORIGIN: CHINA</t>
  </si>
  <si>
    <t>REQ2500023256</t>
  </si>
  <si>
    <t>CABLE TIES 300 X 3.6MM, WHITE, NYLON, MAKE: BULLTTE</t>
  </si>
  <si>
    <t>REQ2500023255</t>
  </si>
  <si>
    <t>SOCKET 1 1/8" COPPER, MAKE: MUELLER, ORIIGN: USA</t>
  </si>
  <si>
    <t>875385</t>
  </si>
  <si>
    <t>REQ2500023231</t>
  </si>
  <si>
    <t>V-BELT, B-58, MAKE: BLACK BELT, ORIGIN: KOREA</t>
  </si>
  <si>
    <t>PO2500013327</t>
  </si>
  <si>
    <t>REQ2500023130</t>
  </si>
  <si>
    <t>FREON GAS R410A X 25LBS / 11.3KG DISPOSIBLE CYLINDER, MAKE: FLORON</t>
  </si>
  <si>
    <t>876326</t>
  </si>
  <si>
    <t>REQ2500023129</t>
  </si>
  <si>
    <t>WELDING GLOVES 16", LEATHER GREEN, "CE", ART: RG-02, PART NO. 81GLOV-G, MAKE: RIGMAN</t>
  </si>
  <si>
    <t>876328</t>
  </si>
  <si>
    <t>REQ2500023125</t>
  </si>
  <si>
    <t>MINI CONTACTOR 6A 3P, PRODUCT CODE. LC1K0610F7, MAKE: SCHNEIDER</t>
  </si>
  <si>
    <t>PO2500013628</t>
  </si>
  <si>
    <t>REQ2500023121</t>
  </si>
  <si>
    <t>GLOVES LEATHER, HEAVY DUTY, FT-PROTECTIVE LINE, PACKING: 12 PAIR PER POLYBAG / 120 PAIR PER CTN, ARTICLE NO. HG-1101SP, MAKE: AVES</t>
  </si>
  <si>
    <t>875366</t>
  </si>
  <si>
    <t>REQ2500023115</t>
  </si>
  <si>
    <t>WINDING SLEEVE 5MM, ORIGIN: INDIA</t>
  </si>
  <si>
    <t>875368</t>
  </si>
  <si>
    <t>REQ2500023111</t>
  </si>
  <si>
    <t>BEARING, PART NO. 608ZZ1MC3E, BRAND: NSK, ORIGIN: INDONESIA</t>
  </si>
  <si>
    <t>876330</t>
  </si>
  <si>
    <t>REQ2500023101</t>
  </si>
  <si>
    <t>TIME DELAY FUSE 30A 600V, MODEL: ATDR30, MAKE: YORK</t>
  </si>
  <si>
    <t>REQ2500023095</t>
  </si>
  <si>
    <t>PACKAGE AIR CONDITION UNIT 8TON, MODEL NO. APMR52010AM, MAKE: SKM, ORIGIN: UAE</t>
  </si>
  <si>
    <t>PO2500013176</t>
  </si>
  <si>
    <t>REQ2500023085</t>
  </si>
  <si>
    <t>THERMOSTATIC EXPANSION VALVE, 11 TR, TGE, R22/R407C, PART NO. 067N2304, MAKE: DANFOSS</t>
  </si>
  <si>
    <t>PO2500013061</t>
  </si>
  <si>
    <t>REQ2500023084</t>
  </si>
  <si>
    <t>RECTIFICATION OF TRANE CHILLER RTAF 250 (NO.3) SYSTEM ‘A’ AT GISCO SITE FUJAIRAH AIRPORT, SCOPE OF WORK AS PER ANNEXURE</t>
  </si>
  <si>
    <t>PO2500013190</t>
  </si>
  <si>
    <t>GAS R32, CAPACITY: 10KG, MAKE: FLORON, ORIGIN: INDIA</t>
  </si>
  <si>
    <t>PO2500013247</t>
  </si>
  <si>
    <t>REQ2500022991</t>
  </si>
  <si>
    <t>GAS R22, PACKING: 13.6KGS (30LBS), DISPOSABLE CYLINDER, BRAND: FLORON, ORIGIN: INDIA</t>
  </si>
  <si>
    <t>875340</t>
  </si>
  <si>
    <t>REQ2500022949</t>
  </si>
  <si>
    <t>PRESSURE GAUGE 4", DIAL 0-10BAR, 150PSI, 1/2" MALE NPT, SS316, PART CODE: PG 4" NPT (M)10BAR, MAKE: PROTECH, ORIGIN: INDIA</t>
  </si>
  <si>
    <t>PO2500012940</t>
  </si>
  <si>
    <t>REQ2500022806</t>
  </si>
  <si>
    <t>BAG FILTER 592 (W) X 592 (H) X 390MM (D) 6P, DRIPAK GX, GRADE F9, GLASS FIBER MEDIA, GI FRAME, 20MM HEADER, MAKE: AAF</t>
  </si>
  <si>
    <t>TEMPERATURE SENSOR MCS-T100-60, PRODUCT CODE: 64GX21191000 / 64CYST067000, MAKE: SKM</t>
  </si>
  <si>
    <t>PO2500012957</t>
  </si>
  <si>
    <t>TEMPERATURE SENSOR, 30RB, MODEL NO. 00PSP000000159AM, MAKE: CARRIER</t>
  </si>
  <si>
    <t>PO2500012771</t>
  </si>
  <si>
    <t>REQ2500022598</t>
  </si>
  <si>
    <t>OIL 3GS 3.78LTR GAL, BRAND: SUNISE, ORIGIN: INDIA</t>
  </si>
  <si>
    <t>875280</t>
  </si>
  <si>
    <t>REQ2500022579</t>
  </si>
  <si>
    <t>BEARING 6306ZZ, MAKE: NSK, ORIGIN: JAPAN</t>
  </si>
  <si>
    <t>REQ2500022572</t>
  </si>
  <si>
    <t>PAINT SYNTHETIC ENAMEL GLOSS 1, BLACK 890, PACKING 3.6LTR / GAL, MAKE: NATIONAL, ORIGIN: UAE</t>
  </si>
  <si>
    <t>MAP GAS HAND TORCH WITH HOSE, MAKE: ECOFROST</t>
  </si>
  <si>
    <t>PO2500012713</t>
  </si>
  <si>
    <t>REQ2500022503</t>
  </si>
  <si>
    <t>SPONGE FILTER ROLL, ORIGIN: CHINA</t>
  </si>
  <si>
    <t>REQ2500022501</t>
  </si>
  <si>
    <t>871404</t>
  </si>
  <si>
    <t>CONTROL TRANSFORMER 100VA 230V/24V, PART NO. HBK00100E9, MAKE: HIMEL</t>
  </si>
  <si>
    <t>PO2500012634</t>
  </si>
  <si>
    <t>CONTACTOR 116A 3P 1NO+1NC 100-250V AC/DC, MODEL NO. AF116-30-11-13, PART NO. 1SFL427001R1311, MAKE: ABB</t>
  </si>
  <si>
    <t>PO2500012503</t>
  </si>
  <si>
    <t>PROPELLER FAN, D800, 6 LEAF, PRC-32MEA, MODEL NO. F03019010464, MAKE: MITSUBISHI, ORIGIN: MALAYSIA</t>
  </si>
  <si>
    <t>PO2500012296</t>
  </si>
  <si>
    <t>REQ2500022046</t>
  </si>
  <si>
    <t>PO2500012328</t>
  </si>
  <si>
    <t>ANGLE 50 X 50 X 3MM X 6MTR LTH, MS, ORIGIN: CHINA</t>
  </si>
  <si>
    <t>SPLIT WALL 30000BTU R410A, SCROLL, PART NO. 120RASGA30-FU, MAKE: GENERAL, ORIGIN: THAILAND</t>
  </si>
  <si>
    <t>BRAZING ROD 0%, 1/8" FLAT, 28STK/PKT, BRAND: HARIS, ORIGIN: USA</t>
  </si>
  <si>
    <t>TRUNKING 100MM X 100MM X 3Mtr., PVC WITH COVER, MAKE: GIFFEX, ORIGIN: INDIA</t>
  </si>
  <si>
    <t>CONTACTOR 50A, 24V AC COIL, 3P, PART NO. LC1D50AB7, MAKE: SCHNEIDER ELECTRIC</t>
  </si>
  <si>
    <t>SWITCHED SOCKET DOUBLE 13A, VX1500, MAKE: VOLEX, ORIGIN: UK</t>
  </si>
  <si>
    <t>COPPER PIPE 5/8" X 50' X 0.028" THICK, MAKE: MAKSAL, ORIGIN: SA</t>
  </si>
  <si>
    <t>SPLIT WALL 24000BTU HI-EER R410, ROTARY, MODEL NO. 123RASGA24-FD, MAKE: GENERAL, ORIGIN: THAILAND</t>
  </si>
  <si>
    <t>ISOLATOR 32-40A, 3 POLE 220V, PART NO. KSE340TPN, W/P WITH METAL BODY, MAKE: ABB</t>
  </si>
  <si>
    <t>OVERLOAD RELAY 2.5-4A, MODEL NO. LRD08, MAKE: SCHNEIDER ELECTRIC, ORIGIN: FRANCE</t>
  </si>
  <si>
    <t>EXPANSION VALVE R22, WITH EXTERNAL EQUALISER, PART NO. 068Z3209, MAKE: DANFOSS</t>
  </si>
  <si>
    <t>COMBINATION HAMMER 26MM  3-MODES, 220–240 V AC, MODEL NO. HR2630, MAKE: MAKITA</t>
  </si>
  <si>
    <t>PIPE WRENCH 18" STRAIGHT H/D, PART NO. 31025-18, MAKE: RIDGID, ORIGIN: USA</t>
  </si>
  <si>
    <t>PO2500013903,PO2500013902</t>
  </si>
  <si>
    <t>PO2500013793,PO2500013548,PO2500013794</t>
  </si>
  <si>
    <t>PO2500013812,PO2500013813,PO2500013977</t>
  </si>
  <si>
    <t>PO2500013925,PO2500013927</t>
  </si>
  <si>
    <t>PO2500013508,PO2500013505</t>
  </si>
  <si>
    <t>PO2500013461,PO2500013463</t>
  </si>
  <si>
    <t>PO2500012754,PO2500012719,PO2500012756,PO2500012676</t>
  </si>
  <si>
    <t>PO2500012674,PO2500012673</t>
  </si>
  <si>
    <t>PO2500012578,PO2500012750</t>
  </si>
  <si>
    <t>BEARING 6203-2Z-1/2", MAKE: SKF, ORIGIN: EUROPE</t>
  </si>
  <si>
    <t>REQ2600000144</t>
  </si>
  <si>
    <t>V BELT AX-40, MAKE: DUNLOP, MAKE: KOREA</t>
  </si>
  <si>
    <t>REQ2600000142</t>
  </si>
  <si>
    <t>931321</t>
  </si>
  <si>
    <t>REQ2500029032</t>
  </si>
  <si>
    <t>PILLOW BLOCK WITH BEARING 40MMGSA208, PART NO. P208, MAKE: FYH</t>
  </si>
  <si>
    <t>REQ2500028986</t>
  </si>
  <si>
    <t>PCB, COM-IPDU, MCC-1596, PART NO. 4316V441, MODEL NO. MMY-MAP0804HT8-ME, MAKE: TOSHIBA</t>
  </si>
  <si>
    <t>PO2500016725</t>
  </si>
  <si>
    <t>REQ2500028876</t>
  </si>
  <si>
    <t>SHOULDER TOOL BAG 18", BACKPACK, MODEL NO. STST1-72335, MAKE: STANLEY</t>
  </si>
  <si>
    <t>PO2500016681</t>
  </si>
  <si>
    <t>REQ2500028801</t>
  </si>
  <si>
    <t>917356</t>
  </si>
  <si>
    <t>REQ2500028792</t>
  </si>
  <si>
    <t>REQ2500028629</t>
  </si>
  <si>
    <t>PREVENTIVE MAINTENANCE FOR CCU SYSTEM AT CMW FUJAIRAH – BOQ AS PER ANNEXURE I</t>
  </si>
  <si>
    <t>PO2500016118</t>
  </si>
  <si>
    <t>REQ2500028541</t>
  </si>
  <si>
    <t>ALUMINIUM FILTER MEDIA SHEETS 40" X 64" X 1", BRAND: BINAIR, ORIGIN: UAE</t>
  </si>
  <si>
    <t>REQ2500028538</t>
  </si>
  <si>
    <t>BATTERY AA, PACKING: 20 CARD / BOX, 2PCS / CARD, BRAND: ENERGIZER</t>
  </si>
  <si>
    <t>915354</t>
  </si>
  <si>
    <t>REQ2500028414</t>
  </si>
  <si>
    <t>PUSH BUTTON GREEN WITH 1 NO, PART NO. XB4BA31, MAKE: SCHNEIDER</t>
  </si>
  <si>
    <t>PO2500016255</t>
  </si>
  <si>
    <t>REQ2500028292</t>
  </si>
  <si>
    <t>REQ2500028291</t>
  </si>
  <si>
    <t>CONTACTOR 15KW 400V 32A (AC3) 50A (AC1) 3P 24V AC COIL, 1NO/1NC, PART NO. LC1D32B7, MAKE: SCHNEIDER, ORIGIN: FRANCE</t>
  </si>
  <si>
    <t>911342</t>
  </si>
  <si>
    <t>REQ2500028236</t>
  </si>
  <si>
    <t>PILLOW VACCUM PACK 700GRAM, STD, COLOUR: WHITE, ORIGIN: UAE</t>
  </si>
  <si>
    <t>911327</t>
  </si>
  <si>
    <t>REQ2500028156</t>
  </si>
  <si>
    <t>907352</t>
  </si>
  <si>
    <t>REQ2500028106</t>
  </si>
  <si>
    <t>SUPPLY OF REFURBISHED EXV VALVE FOR RTAC 200 CHILLER NO. 1 SYSTEM A IN 3RD BUILDING AT MANAMA CAMP, TRAINING CENTER FOR GISCO, SCOPE OF WORK AS PER ANNEXURE</t>
  </si>
  <si>
    <t>PO2500016163</t>
  </si>
  <si>
    <t>REQ2500028036</t>
  </si>
  <si>
    <t>PO2500015983</t>
  </si>
  <si>
    <t>REQ2500027789</t>
  </si>
  <si>
    <t>COPPER COIL 7/8", MAKE: MAKSAL, ORIGIN: RSA</t>
  </si>
  <si>
    <t>PO2500015881</t>
  </si>
  <si>
    <t>REQ2500027554</t>
  </si>
  <si>
    <t>PO2500015872</t>
  </si>
  <si>
    <t>REQ2500027546</t>
  </si>
  <si>
    <t>ANTI VIBRATION RUBBER PAD 9MM X 450MM X 450MM, ORIGIN: UAE</t>
  </si>
  <si>
    <t>PO2500015852</t>
  </si>
  <si>
    <t>REQ2500027543</t>
  </si>
  <si>
    <t>FISCHER 6MM X 30MM, CAP TYPE, CF6CT, PACKING 80 NOS./PKT., MAKE: CLARKE</t>
  </si>
  <si>
    <t>900329</t>
  </si>
  <si>
    <t>REQ2500027535</t>
  </si>
  <si>
    <t>REQ2500027532</t>
  </si>
  <si>
    <t>PO2500015795</t>
  </si>
  <si>
    <t>REQ2500027531</t>
  </si>
  <si>
    <t>PO2500015816</t>
  </si>
  <si>
    <t>REQ2500027366</t>
  </si>
  <si>
    <t>SELECTOR SWITCH, PART NO. XB5AG21, MAKE: SCHNEIDER ELECTRIC, ORIGIN: FRANCE</t>
  </si>
  <si>
    <t>REQ2500027351</t>
  </si>
  <si>
    <t>CONTACTOR 11KW, 110V AC COIL 400V 25A(AC3), 40A(AC1), 3P+1NO/1NC, PART NO. LC1D25F7, MAKE: SCHNEIDER ELECTRIC</t>
  </si>
  <si>
    <t>PO2500015849</t>
  </si>
  <si>
    <t>REQ2500027308</t>
  </si>
  <si>
    <t>THERMAL OVERLOAD RELAY 4A - 6A, PART NO. LRD10, MAKE: SCHNEIDER</t>
  </si>
  <si>
    <t>PO2500015895</t>
  </si>
  <si>
    <t>REQ2500027307</t>
  </si>
  <si>
    <t>898322</t>
  </si>
  <si>
    <t>REQ2500027306</t>
  </si>
  <si>
    <t>PO2500016104</t>
  </si>
  <si>
    <t>REQ2500027299</t>
  </si>
  <si>
    <t>PIPE 7/8" X 19' X 1.14, COPPER, STD, MAKE: MAKSAL, ORIGIN: RSA</t>
  </si>
  <si>
    <t>PO2500015765</t>
  </si>
  <si>
    <t>REQ2500027220</t>
  </si>
  <si>
    <t>MEASURING TAPE 5MTR., PLASTIC BODY, MAKE: STANLEY, ORIGIN: USA</t>
  </si>
  <si>
    <t>895406</t>
  </si>
  <si>
    <t>REQ2500027217</t>
  </si>
  <si>
    <t>PO2500016468</t>
  </si>
  <si>
    <t>REQ2500027164</t>
  </si>
  <si>
    <t>PO2500016292</t>
  </si>
  <si>
    <t>REQ2500026965</t>
  </si>
  <si>
    <t>PIPE 7/8" X 50', COPPER, MAKE: MULLER, ORIGIN: USA</t>
  </si>
  <si>
    <t>REQ2500026740</t>
  </si>
  <si>
    <t>INSULATION TAPE 19MM X 10Y, BLACK, MAKE: 3M, ORIGIN: UK</t>
  </si>
  <si>
    <t>892321</t>
  </si>
  <si>
    <t>REQ2500026674</t>
  </si>
  <si>
    <t>SOLENOID COIL AC 24V, IP67, MODEL: BF024AS, PRODCUT CODE: DA-018F6257, MAKE: DANFOSS</t>
  </si>
  <si>
    <t>REQ2500026603</t>
  </si>
  <si>
    <t>V-BELT B-83, MAKE: PIX, ORIGIN: INDIA</t>
  </si>
  <si>
    <t>PO2500015208</t>
  </si>
  <si>
    <t>REQ2500026594</t>
  </si>
  <si>
    <t>PO2500015669</t>
  </si>
  <si>
    <t>REQ2500026248</t>
  </si>
  <si>
    <t>BAG FILTER 592(W) X 592(H) X 508MM(D), 6P, ULTRA-PAC, EFF-F7 / 85%, FRAME: GI / 20MM, MAKE: EXCELAIR</t>
  </si>
  <si>
    <t>PO2500015231</t>
  </si>
  <si>
    <t>REQ2500026245</t>
  </si>
  <si>
    <t>BEARING 6002-2ZC3E, MAKE: NSK, ORIGIN: POLAND</t>
  </si>
  <si>
    <t>886393</t>
  </si>
  <si>
    <t>REQ2500026231</t>
  </si>
  <si>
    <t>AIR CONDITIONER FREE STANDING 60000BTU, R410, Model No. 323MFT3GA-60CRN1, MAKE: MIDEA</t>
  </si>
  <si>
    <t>PO2500014884</t>
  </si>
  <si>
    <t>REQ2500026230</t>
  </si>
  <si>
    <t>REQ2500026229</t>
  </si>
  <si>
    <t>886395</t>
  </si>
  <si>
    <t>REQ2500026220</t>
  </si>
  <si>
    <t>PO2500015166</t>
  </si>
  <si>
    <t>REQ2500026047</t>
  </si>
  <si>
    <t>DISPOSABLE FILTER 592 H X 592 W X 48MM D / 24 X 24 X 2", GRADE G4, SYENTHETIC MEDIA, PAPER BOARD FRAME, AMAIR 300E, MAKE: AAF, ORIGIN: UAE</t>
  </si>
  <si>
    <t>REQ2500026045</t>
  </si>
  <si>
    <t>FLEXIBLE CONDUIT 20MM X 15 MTR. / ROL, BLACK PVC COVER, G.I COATED, BRAND: RELITE, ORIGIN: INDIA</t>
  </si>
  <si>
    <t>PO2500015169</t>
  </si>
  <si>
    <t>REQ2500026042</t>
  </si>
  <si>
    <t>WINDING WIRE 0.530MM, MAKE: RR/SHRAMIK, ORIGIN: INDIA</t>
  </si>
  <si>
    <t>887326</t>
  </si>
  <si>
    <t>REQ2500026013</t>
  </si>
  <si>
    <t>WINDING WIRE 0.19MM, MAKE: RR/SHRAMIK, ORIGIN: INDIA</t>
  </si>
  <si>
    <t>886341</t>
  </si>
  <si>
    <t>REQ2500025996</t>
  </si>
  <si>
    <t>PO2500014786</t>
  </si>
  <si>
    <t>REQ2500025730</t>
  </si>
  <si>
    <t>885433</t>
  </si>
  <si>
    <t>REQ2500025656</t>
  </si>
  <si>
    <t>STAPLE, NO.35-1M, 26/6, MAKE: MAX</t>
  </si>
  <si>
    <t>885417</t>
  </si>
  <si>
    <t>REQ2500025579</t>
  </si>
  <si>
    <t>REQ2500025453</t>
  </si>
  <si>
    <t>885360</t>
  </si>
  <si>
    <t>REQ2500025367</t>
  </si>
  <si>
    <t>SPRAY PAINT 300GMS, RED, PACKING: 12PC / CTN, MAKE: ASMACO</t>
  </si>
  <si>
    <t>PO2500014425</t>
  </si>
  <si>
    <t>REQ2500025294</t>
  </si>
  <si>
    <t>SCREW DRIVER 12" STAR, WITH RUBBER HANDLE, MAKE: CLARKE</t>
  </si>
  <si>
    <t>885357</t>
  </si>
  <si>
    <t>REQ2500025292</t>
  </si>
  <si>
    <t>REQ2500025288</t>
  </si>
  <si>
    <t>885329</t>
  </si>
  <si>
    <t>REQ2500025282</t>
  </si>
  <si>
    <t>FOAM SHEET 1/2"(12MM), 1.2 X 20M, XPE (LINER) CLOSED CELL POLYOLEFIN, MAKE: KFLEX / K-FOAM</t>
  </si>
  <si>
    <t>PO2500014448</t>
  </si>
  <si>
    <t>REQ2500025261</t>
  </si>
  <si>
    <t>REQ2500025256</t>
  </si>
  <si>
    <t>884351</t>
  </si>
  <si>
    <t>REQ2500025220</t>
  </si>
  <si>
    <t>COMPRESSOR CHILLER, MODEL NO. AWR5542, 1PH, R404, 3PH, (USED), MAKE: TECUMSEH</t>
  </si>
  <si>
    <t>PO2500014367</t>
  </si>
  <si>
    <t>PO2500014320</t>
  </si>
  <si>
    <t>PO2500014164</t>
  </si>
  <si>
    <t>PO2500014894</t>
  </si>
  <si>
    <t>PO2500014321</t>
  </si>
  <si>
    <t>price</t>
  </si>
  <si>
    <t>PO2600000163</t>
  </si>
  <si>
    <t>PO2600000176</t>
  </si>
  <si>
    <t>PO2500016546</t>
  </si>
  <si>
    <t>PO2500016521</t>
  </si>
  <si>
    <t>PO2500016445</t>
  </si>
  <si>
    <t>PO2500016446</t>
  </si>
  <si>
    <t>PO2500016435</t>
  </si>
  <si>
    <t>PO2500016447</t>
  </si>
  <si>
    <t>PO2500016444</t>
  </si>
  <si>
    <t>PO2500016317</t>
  </si>
  <si>
    <t>PO2500016323</t>
  </si>
  <si>
    <t>PO2500016318</t>
  </si>
  <si>
    <t>PO2500016325</t>
  </si>
  <si>
    <t>PO2500016192</t>
  </si>
  <si>
    <t>PO2500016768</t>
  </si>
  <si>
    <t>PO2500015845</t>
  </si>
  <si>
    <t>PO2500016017</t>
  </si>
  <si>
    <t>PO2500015439</t>
  </si>
  <si>
    <t>PO2500015578</t>
  </si>
  <si>
    <t>REQ2500026673</t>
  </si>
  <si>
    <t>PO2500015209</t>
  </si>
  <si>
    <t>PO2500015207</t>
  </si>
  <si>
    <t>PO2500015212</t>
  </si>
  <si>
    <t>PO2500014868</t>
  </si>
  <si>
    <t>PO2500014867</t>
  </si>
  <si>
    <t>PO2500014869</t>
  </si>
  <si>
    <t>PO2500014864</t>
  </si>
  <si>
    <t>PO2500015523</t>
  </si>
  <si>
    <t>PO2500014892</t>
  </si>
  <si>
    <t>PO2500014889</t>
  </si>
  <si>
    <t>PO2500015156</t>
  </si>
  <si>
    <t>PO2500015157</t>
  </si>
  <si>
    <t>REQ2500025578</t>
  </si>
  <si>
    <t>PO2500014377</t>
  </si>
  <si>
    <t>PO2500014469</t>
  </si>
  <si>
    <t>PO2500014376</t>
  </si>
  <si>
    <t>PO2500014446</t>
  </si>
  <si>
    <t>PO2500014338</t>
  </si>
  <si>
    <t>PO2500010184</t>
  </si>
  <si>
    <t>PO2500014568</t>
  </si>
  <si>
    <t>PO2500014339</t>
  </si>
  <si>
    <t>PO2500014161</t>
  </si>
  <si>
    <t>PRINTING OF LOG BOOK NCR 1 + 3, 3 COLOUR PRINTING, 50SET PER BOOK, SIZE: A5</t>
  </si>
  <si>
    <t>PRINTING OF LOG BOOK NCR 1 + 3, 3 COLOUR PRINTING, 50SET PER BOOK, SIZE: A6</t>
  </si>
  <si>
    <t>PO2500014484</t>
  </si>
  <si>
    <t>PO2500014529</t>
  </si>
  <si>
    <t>PO2500014530</t>
  </si>
  <si>
    <t>PO2500013879</t>
  </si>
  <si>
    <t>PO2500013891</t>
  </si>
  <si>
    <t>PO2500013948</t>
  </si>
  <si>
    <t>PO2500013903</t>
  </si>
  <si>
    <t>PO2500013902</t>
  </si>
  <si>
    <t>PO2500013793</t>
  </si>
  <si>
    <t>PO2500013548</t>
  </si>
  <si>
    <t>PO2500013794</t>
  </si>
  <si>
    <t>PO2500013812</t>
  </si>
  <si>
    <t>PO2500013813</t>
  </si>
  <si>
    <t>PO2500013977</t>
  </si>
  <si>
    <t>PO2500013925</t>
  </si>
  <si>
    <t>PO2500013927</t>
  </si>
  <si>
    <t>PO2500013511</t>
  </si>
  <si>
    <t>PO2500013513</t>
  </si>
  <si>
    <t>PO2500013508</t>
  </si>
  <si>
    <t>PO2500013505</t>
  </si>
  <si>
    <t>PO2500013461</t>
  </si>
  <si>
    <t>PO2500013463</t>
  </si>
  <si>
    <t>PO2500013304</t>
  </si>
  <si>
    <t>PO2500013305</t>
  </si>
  <si>
    <t>PO2500013306</t>
  </si>
  <si>
    <t>PO2500013307</t>
  </si>
  <si>
    <t>PO2500013821</t>
  </si>
  <si>
    <t>PO2500013531</t>
  </si>
  <si>
    <t>PO2500013562</t>
  </si>
  <si>
    <t>PO2500013820</t>
  </si>
  <si>
    <t>PO2500013318</t>
  </si>
  <si>
    <t>PO2500014112</t>
  </si>
  <si>
    <t>PO2500014109</t>
  </si>
  <si>
    <t>PO2500014113</t>
  </si>
  <si>
    <t>PO2500012958</t>
  </si>
  <si>
    <t>PO2500012962</t>
  </si>
  <si>
    <t>PO2500012754</t>
  </si>
  <si>
    <t>PO2500012719</t>
  </si>
  <si>
    <t>PO2500013239</t>
  </si>
  <si>
    <t>PO2500012676</t>
  </si>
  <si>
    <t>PO2500012674</t>
  </si>
  <si>
    <t>PO2500012673</t>
  </si>
  <si>
    <t>PO2500012578</t>
  </si>
  <si>
    <t>PO2500012750</t>
  </si>
  <si>
    <t>2690000187</t>
  </si>
  <si>
    <t>2590018436</t>
  </si>
  <si>
    <t>2590018259</t>
  </si>
  <si>
    <t>2590017891</t>
  </si>
  <si>
    <t>2590017822</t>
  </si>
  <si>
    <t>2590018304</t>
  </si>
  <si>
    <t>2590017826</t>
  </si>
  <si>
    <t>2590017824</t>
  </si>
  <si>
    <t>2590018172</t>
  </si>
  <si>
    <t>2590016949</t>
  </si>
  <si>
    <t>2590016961</t>
  </si>
  <si>
    <t>2590017406</t>
  </si>
  <si>
    <t>2590016948</t>
  </si>
  <si>
    <t>2590016859</t>
  </si>
  <si>
    <t>2590016559</t>
  </si>
  <si>
    <t>2590016272</t>
  </si>
  <si>
    <t>2590017409</t>
  </si>
  <si>
    <t>2590016113</t>
  </si>
  <si>
    <t>2590016530</t>
  </si>
  <si>
    <t>2690000154</t>
  </si>
  <si>
    <t>2590016446</t>
  </si>
  <si>
    <t>2590015927</t>
  </si>
  <si>
    <t>2590015932</t>
  </si>
  <si>
    <t>2590015929</t>
  </si>
  <si>
    <t>2590015774</t>
  </si>
  <si>
    <t>2590016279</t>
  </si>
  <si>
    <t>2590016947</t>
  </si>
  <si>
    <t>2590015794</t>
  </si>
  <si>
    <t>2590015770</t>
  </si>
  <si>
    <t>2590015549</t>
  </si>
  <si>
    <t>2590015487</t>
  </si>
  <si>
    <t>2590015249</t>
  </si>
  <si>
    <t>2590018303</t>
  </si>
  <si>
    <t>2590015776</t>
  </si>
  <si>
    <t>2590015036</t>
  </si>
  <si>
    <t>2590015019</t>
  </si>
  <si>
    <t>2590014997</t>
  </si>
  <si>
    <t>2590014766</t>
  </si>
  <si>
    <t>2590014701</t>
  </si>
  <si>
    <t>2590014462</t>
  </si>
  <si>
    <t>2590014339</t>
  </si>
  <si>
    <t>2590014700</t>
  </si>
  <si>
    <t>2630000072</t>
  </si>
  <si>
    <t>2530004006</t>
  </si>
  <si>
    <t>2530003962</t>
  </si>
  <si>
    <t>2530003963</t>
  </si>
  <si>
    <t>2530003913</t>
  </si>
  <si>
    <t>2530003917</t>
  </si>
  <si>
    <t>2530003877</t>
  </si>
  <si>
    <t>2530003831</t>
  </si>
  <si>
    <t>2530003833</t>
  </si>
  <si>
    <t>2530003830</t>
  </si>
  <si>
    <t>2530003569</t>
  </si>
  <si>
    <t>2530003561</t>
  </si>
  <si>
    <t>2530003560</t>
  </si>
  <si>
    <t>2530003736</t>
  </si>
  <si>
    <t>2530003768</t>
  </si>
  <si>
    <t>2530003507</t>
  </si>
  <si>
    <t>2530003452</t>
  </si>
  <si>
    <t>2530003506</t>
  </si>
  <si>
    <t>2530003451</t>
  </si>
  <si>
    <t>2530003450</t>
  </si>
  <si>
    <t>2530003419</t>
  </si>
  <si>
    <t>2530003453</t>
  </si>
  <si>
    <t>2530003424</t>
  </si>
  <si>
    <t>2530003423</t>
  </si>
  <si>
    <t>2530003421</t>
  </si>
  <si>
    <t>2530003364</t>
  </si>
  <si>
    <t>2530003326</t>
  </si>
  <si>
    <t>2530003325</t>
  </si>
  <si>
    <t>2530003267</t>
  </si>
  <si>
    <t>2530003269</t>
  </si>
  <si>
    <t>2530003268</t>
  </si>
  <si>
    <t>2530003363</t>
  </si>
  <si>
    <t>2530003224</t>
  </si>
  <si>
    <t>2530003225</t>
  </si>
  <si>
    <t>2530003263</t>
  </si>
  <si>
    <t>2530003221</t>
  </si>
  <si>
    <t>2530003223</t>
  </si>
  <si>
    <t>2530003222</t>
  </si>
  <si>
    <t>2530003226</t>
  </si>
  <si>
    <t>2530003227</t>
  </si>
  <si>
    <t>2530003138</t>
  </si>
  <si>
    <t>2530003053</t>
  </si>
  <si>
    <t>2530003052</t>
  </si>
  <si>
    <t>09-21-205</t>
  </si>
  <si>
    <t>05-12-202506-11-2025</t>
  </si>
  <si>
    <t>21-10-2025 08:33 AM</t>
  </si>
  <si>
    <t>29-10-2025 07:19 AM</t>
  </si>
  <si>
    <t>22-10-2025 07:15 AM</t>
  </si>
  <si>
    <t>31-10-2025 07:34 AM</t>
  </si>
  <si>
    <t>14-10-2025 01:58 PM</t>
  </si>
  <si>
    <t>18-11-2025 12:19 PM</t>
  </si>
  <si>
    <t>21-10-2025 07:28 AM</t>
  </si>
  <si>
    <t>29-10-2025 07:10 AM</t>
  </si>
  <si>
    <t>17-10-2025 07:14 AM</t>
  </si>
  <si>
    <t>22-10-2025 07:19 AM</t>
  </si>
  <si>
    <t>22-10-2025 07:10 AM</t>
  </si>
  <si>
    <t>17-10-2025 07:17 AM</t>
  </si>
  <si>
    <t>16-11-2025 09:05 AM</t>
  </si>
  <si>
    <t>26-12-2025 07:40 AM</t>
  </si>
  <si>
    <t>29-10-2025 07:23 AM</t>
  </si>
  <si>
    <t>24-10-2025 07:55 AM</t>
  </si>
  <si>
    <t>PO2500012780</t>
  </si>
  <si>
    <t>PO2500012813</t>
  </si>
  <si>
    <t>19-11-2025 08:16 AM</t>
  </si>
  <si>
    <t>26-11-2025 10:41 AM</t>
  </si>
  <si>
    <t>23-11-2025 10:28 AM</t>
  </si>
  <si>
    <t>25-11-2025 09:55 AM</t>
  </si>
  <si>
    <t>Receipt Made With Vinod</t>
  </si>
  <si>
    <t>18-11-2025 12:28 PM</t>
  </si>
  <si>
    <t>18-11-2025 12:29 PM</t>
  </si>
  <si>
    <t>18-11-2025 12:30 PM</t>
  </si>
  <si>
    <t>20-11-2025 07:24 AM</t>
  </si>
  <si>
    <t>18-11-2025 12:24 PM</t>
  </si>
  <si>
    <t>18-11-2025 01:32 PM</t>
  </si>
  <si>
    <t>23-11-2025 10:22 AM</t>
  </si>
  <si>
    <t>26-12-2025 07:29 AM</t>
  </si>
  <si>
    <t>19-11-2025 08:06 AM</t>
  </si>
  <si>
    <t>16-11-2025 09:00 AM</t>
  </si>
  <si>
    <t>21-11-2025 08:42 AM</t>
  </si>
  <si>
    <t>16-11-2025 09:02 AM</t>
  </si>
  <si>
    <t>16-11-2025 09:10 AM</t>
  </si>
  <si>
    <t>16-11-2025 08:57 AM</t>
  </si>
  <si>
    <t>25-11-2025 11:57 AM</t>
  </si>
  <si>
    <t>20-11-2025 07:10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</si>
</sst>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m/d/yyyy;@"/>
    <numFmt numFmtId="166" formatCode="dd\-mm\-yyyy"/>
    <numFmt numFmtId="167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6" fillId="7" borderId="6" xfId="0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4" fontId="0" fillId="0" borderId="0" xfId="0" applyNumberFormat="1"/>
    <xf numFmtId="164" fontId="0" fillId="0" borderId="4" xfId="0" applyNumberFormat="1" applyBorder="1"/>
    <xf numFmtId="165" fontId="0" fillId="0" borderId="0" xfId="0" applyNumberFormat="1"/>
    <xf numFmtId="4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right" vertical="center" wrapText="1"/>
    </xf>
    <xf numFmtId="2" fontId="0" fillId="0" borderId="5" xfId="0" applyNumberFormat="1" applyBorder="1"/>
    <xf numFmtId="2" fontId="0" fillId="0" borderId="0" xfId="0" applyNumberFormat="1"/>
    <xf numFmtId="49" fontId="7" fillId="0" borderId="0" xfId="0" applyNumberFormat="1" applyFont="1"/>
    <xf numFmtId="166" fontId="7" fillId="0" borderId="0" xfId="0" applyNumberFormat="1" applyFont="1"/>
    <xf numFmtId="49" fontId="7" fillId="8" borderId="0" xfId="0" applyNumberFormat="1" applyFont="1" applyFill="1"/>
    <xf numFmtId="0" fontId="0" fillId="8" borderId="0" xfId="0" applyFill="1"/>
    <xf numFmtId="166" fontId="7" fillId="8" borderId="0" xfId="0" applyNumberFormat="1" applyFont="1" applyFill="1"/>
    <xf numFmtId="0" fontId="7" fillId="8" borderId="0" xfId="0" applyFont="1" applyFill="1"/>
    <xf numFmtId="4" fontId="7" fillId="8" borderId="0" xfId="0" applyNumberFormat="1" applyFont="1" applyFill="1"/>
    <xf numFmtId="3" fontId="7" fillId="8" borderId="0" xfId="0" applyNumberFormat="1" applyFont="1" applyFill="1"/>
    <xf numFmtId="2" fontId="7" fillId="0" borderId="0" xfId="0" applyNumberFormat="1" applyFont="1"/>
    <xf numFmtId="14" fontId="0" fillId="0" borderId="0" xfId="0" applyNumberFormat="1" applyAlignment="1">
      <alignment horizontal="left" vertical="center"/>
    </xf>
    <xf numFmtId="0" fontId="0" fillId="0" borderId="3" xfId="0" applyBorder="1"/>
    <xf numFmtId="0" fontId="3" fillId="4" borderId="0" xfId="0" applyFont="1" applyFill="1" applyAlignment="1">
      <alignment vertical="center" wrapText="1"/>
    </xf>
    <xf numFmtId="164" fontId="4" fillId="5" borderId="0" xfId="0" applyNumberFormat="1" applyFont="1" applyFill="1" applyAlignment="1">
      <alignment horizontal="right" vertical="center" wrapText="1"/>
    </xf>
    <xf numFmtId="2" fontId="5" fillId="6" borderId="0" xfId="0" applyNumberFormat="1" applyFont="1" applyFill="1" applyAlignment="1">
      <alignment horizontal="right" vertical="center" wrapText="1"/>
    </xf>
    <xf numFmtId="167" fontId="6" fillId="7" borderId="6" xfId="0" applyNumberFormat="1" applyFont="1" applyFill="1" applyBorder="1" applyAlignment="1">
      <alignment horizontal="right" vertical="center" wrapText="1"/>
    </xf>
    <xf numFmtId="167" fontId="2" fillId="7" borderId="6" xfId="0" applyNumberFormat="1" applyFont="1" applyFill="1" applyBorder="1" applyAlignment="1">
      <alignment horizontal="right" vertical="center" wrapText="1"/>
    </xf>
    <xf numFmtId="167" fontId="0" fillId="0" borderId="6" xfId="0" applyNumberFormat="1" applyBorder="1"/>
    <xf numFmtId="167" fontId="0" fillId="0" borderId="0" xfId="0" applyNumberFormat="1"/>
    <xf numFmtId="167" fontId="6" fillId="7" borderId="0" xfId="0" applyNumberFormat="1" applyFont="1" applyFill="1" applyAlignment="1">
      <alignment horizontal="right" vertical="center" wrapText="1"/>
    </xf>
    <xf numFmtId="167" fontId="2" fillId="7" borderId="0" xfId="0" applyNumberFormat="1" applyFont="1" applyFill="1" applyAlignment="1">
      <alignment horizontal="right" vertical="center" wrapText="1"/>
    </xf>
    <xf numFmtId="164" fontId="0" fillId="8" borderId="0" xfId="0" applyNumberFormat="1" applyFill="1"/>
    <xf numFmtId="2" fontId="0" fillId="8" borderId="0" xfId="0" applyNumberFormat="1" applyFill="1"/>
    <xf numFmtId="0" fontId="3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right" vertical="center" wrapText="1"/>
    </xf>
    <xf numFmtId="2" fontId="5" fillId="0" borderId="0" xfId="0" applyNumberFormat="1" applyFont="1" applyAlignment="1">
      <alignment horizontal="right" vertical="center" wrapText="1"/>
    </xf>
    <xf numFmtId="167" fontId="6" fillId="0" borderId="0" xfId="0" applyNumberFormat="1" applyFont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22" fontId="6" fillId="7" borderId="6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right" vertical="center" wrapText="1"/>
    </xf>
    <xf numFmtId="22" fontId="6" fillId="7" borderId="0" xfId="0" applyNumberFormat="1" applyFont="1" applyFill="1" applyAlignment="1">
      <alignment horizontal="right" vertical="center" wrapText="1"/>
    </xf>
    <xf numFmtId="0" fontId="6" fillId="9" borderId="0" xfId="0" applyFont="1" applyFill="1" applyAlignment="1">
      <alignment horizontal="right" vertical="center" wrapText="1"/>
    </xf>
    <xf numFmtId="0" fontId="2" fillId="7" borderId="0" xfId="0" applyFont="1" applyFill="1" applyAlignment="1">
      <alignment horizontal="righ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left"/>
    </xf>
    <xf numFmtId="0" fontId="0" fillId="0" borderId="3" xfId="0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0" fillId="0" borderId="3" xfId="0" applyFill="1" applyBorder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2" fontId="0" fillId="0" borderId="5" xfId="0" applyNumberFormat="1" applyFill="1" applyBorder="1"/>
    <xf numFmtId="165" fontId="0" fillId="0" borderId="0" xfId="0" applyNumberFormat="1" applyFill="1" applyAlignment="1">
      <alignment horizontal="right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1"/>
  <sheetViews>
    <sheetView tabSelected="1" workbookViewId="0">
      <selection activeCell="M9" sqref="M9"/>
    </sheetView>
  </sheetViews>
  <sheetFormatPr defaultRowHeight="15" x14ac:dyDescent="0.25"/>
  <cols>
    <col min="1" max="2" width="14.140625" customWidth="1"/>
    <col min="3" max="3" width="16.28515625" customWidth="1"/>
    <col min="4" max="4" width="14.140625" style="6" customWidth="1"/>
    <col min="5" max="5" width="67.42578125" style="45" customWidth="1"/>
    <col min="6" max="7" width="14.140625" style="13" customWidth="1"/>
    <col min="8" max="8" width="34.140625" customWidth="1"/>
    <col min="9" max="9" width="14.140625" customWidth="1"/>
    <col min="10" max="10" width="14.140625" style="6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1199</v>
      </c>
      <c r="E1" s="43" t="s">
        <v>3</v>
      </c>
      <c r="F1" s="10" t="s">
        <v>4</v>
      </c>
      <c r="G1" s="10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>
        <v>486</v>
      </c>
      <c r="B2" s="24" t="s">
        <v>9</v>
      </c>
      <c r="C2" s="24" t="s">
        <v>1375</v>
      </c>
      <c r="D2" s="7">
        <v>45947</v>
      </c>
      <c r="E2" s="44">
        <v>871404</v>
      </c>
      <c r="F2" s="12">
        <v>78.28</v>
      </c>
      <c r="G2" s="12">
        <f>IF(J2&gt;0,F2,0)</f>
        <v>78.28</v>
      </c>
      <c r="H2" s="30">
        <v>45950</v>
      </c>
      <c r="I2" s="24"/>
      <c r="J2" s="56">
        <v>2530003052</v>
      </c>
    </row>
    <row r="3" spans="1:10" x14ac:dyDescent="0.25">
      <c r="A3" s="2">
        <v>488</v>
      </c>
      <c r="B3" s="24" t="s">
        <v>9</v>
      </c>
      <c r="C3" s="24" t="s">
        <v>1364</v>
      </c>
      <c r="D3" s="7">
        <v>45950</v>
      </c>
      <c r="E3" s="44">
        <v>875280</v>
      </c>
      <c r="F3" s="12">
        <v>705.64</v>
      </c>
      <c r="G3" s="12">
        <f t="shared" ref="G3:G64" si="0">IF(J3&gt;0,F3,0)</f>
        <v>705.64</v>
      </c>
      <c r="H3" s="30">
        <v>45950</v>
      </c>
      <c r="I3" s="24"/>
      <c r="J3" s="56">
        <v>2530003053</v>
      </c>
    </row>
    <row r="4" spans="1:10" x14ac:dyDescent="0.25">
      <c r="A4" s="2">
        <v>516</v>
      </c>
      <c r="B4" s="24" t="s">
        <v>9</v>
      </c>
      <c r="C4" s="24" t="s">
        <v>1352</v>
      </c>
      <c r="D4" s="7">
        <v>45953</v>
      </c>
      <c r="E4" s="24">
        <v>875340</v>
      </c>
      <c r="F4" s="12">
        <v>3932.17</v>
      </c>
      <c r="G4" s="12">
        <f t="shared" si="0"/>
        <v>3932.17</v>
      </c>
      <c r="H4" s="30">
        <v>45956</v>
      </c>
      <c r="I4" s="24"/>
      <c r="J4" s="56">
        <v>2530003138</v>
      </c>
    </row>
    <row r="5" spans="1:10" x14ac:dyDescent="0.25">
      <c r="A5" s="2">
        <v>524</v>
      </c>
      <c r="B5" s="24" t="s">
        <v>9</v>
      </c>
      <c r="C5" s="24" t="s">
        <v>1330</v>
      </c>
      <c r="D5" s="7">
        <v>45954</v>
      </c>
      <c r="E5" s="24">
        <v>875366</v>
      </c>
      <c r="F5" s="13">
        <v>2.75</v>
      </c>
      <c r="G5" s="12">
        <f t="shared" si="0"/>
        <v>2.75</v>
      </c>
      <c r="H5" s="30">
        <v>45960</v>
      </c>
      <c r="I5" s="24"/>
      <c r="J5" s="56">
        <v>2530003227</v>
      </c>
    </row>
    <row r="6" spans="1:10" x14ac:dyDescent="0.25">
      <c r="A6" s="2">
        <v>525</v>
      </c>
      <c r="B6" s="24" t="s">
        <v>9</v>
      </c>
      <c r="C6" s="24" t="s">
        <v>1333</v>
      </c>
      <c r="D6" s="7">
        <v>45954</v>
      </c>
      <c r="E6" s="24">
        <v>875368</v>
      </c>
      <c r="F6" s="12">
        <v>125</v>
      </c>
      <c r="G6" s="12">
        <f t="shared" si="0"/>
        <v>125</v>
      </c>
      <c r="H6" s="30">
        <v>45960</v>
      </c>
      <c r="I6" s="24"/>
      <c r="J6" s="56">
        <v>2530003226</v>
      </c>
    </row>
    <row r="7" spans="1:10" x14ac:dyDescent="0.25">
      <c r="A7" s="2">
        <v>540</v>
      </c>
      <c r="B7" s="24" t="s">
        <v>9</v>
      </c>
      <c r="C7" s="24" t="s">
        <v>1315</v>
      </c>
      <c r="D7" s="7">
        <v>45957</v>
      </c>
      <c r="E7" s="24">
        <v>875385</v>
      </c>
      <c r="F7" s="12">
        <v>1141.8800000000001</v>
      </c>
      <c r="G7" s="12">
        <f t="shared" si="0"/>
        <v>1141.8800000000001</v>
      </c>
      <c r="H7" s="30">
        <v>45960</v>
      </c>
      <c r="I7" s="24"/>
      <c r="J7" s="56">
        <v>2530003222</v>
      </c>
    </row>
    <row r="8" spans="1:10" x14ac:dyDescent="0.25">
      <c r="A8" s="2">
        <v>542</v>
      </c>
      <c r="B8" s="24" t="s">
        <v>9</v>
      </c>
      <c r="C8" s="24" t="s">
        <v>1308</v>
      </c>
      <c r="D8" s="7">
        <v>45958</v>
      </c>
      <c r="E8" s="24">
        <v>875418</v>
      </c>
      <c r="F8" s="12">
        <v>89.52</v>
      </c>
      <c r="G8" s="12">
        <f t="shared" si="0"/>
        <v>89.52</v>
      </c>
      <c r="H8" s="30">
        <v>45960</v>
      </c>
      <c r="I8" s="24"/>
      <c r="J8" s="56">
        <v>2530003223</v>
      </c>
    </row>
    <row r="9" spans="1:10" x14ac:dyDescent="0.25">
      <c r="A9" s="2">
        <v>523</v>
      </c>
      <c r="B9" s="24" t="s">
        <v>9</v>
      </c>
      <c r="C9" s="24" t="s">
        <v>1321</v>
      </c>
      <c r="D9" s="7">
        <v>45954</v>
      </c>
      <c r="E9" s="24">
        <v>876326</v>
      </c>
      <c r="F9" s="12">
        <v>4710.3100000000004</v>
      </c>
      <c r="G9" s="12">
        <f t="shared" si="0"/>
        <v>4710.3100000000004</v>
      </c>
      <c r="H9" s="30">
        <v>45960</v>
      </c>
      <c r="I9" s="24"/>
      <c r="J9" s="56">
        <v>2530003221</v>
      </c>
    </row>
    <row r="10" spans="1:10" x14ac:dyDescent="0.25">
      <c r="A10" s="2">
        <v>72</v>
      </c>
      <c r="B10" s="24" t="s">
        <v>9</v>
      </c>
      <c r="C10" s="24" t="s">
        <v>1324</v>
      </c>
      <c r="D10" s="7">
        <v>45954</v>
      </c>
      <c r="E10" s="44">
        <v>876328</v>
      </c>
      <c r="F10" s="12">
        <v>9.0399999999999991</v>
      </c>
      <c r="G10" s="12">
        <f t="shared" si="0"/>
        <v>9.0399999999999991</v>
      </c>
      <c r="H10" s="30">
        <v>45758.290972222225</v>
      </c>
      <c r="I10" s="24"/>
      <c r="J10" s="56">
        <v>2530003263</v>
      </c>
    </row>
    <row r="11" spans="1:10" x14ac:dyDescent="0.25">
      <c r="A11" s="2">
        <v>526</v>
      </c>
      <c r="B11" s="24" t="s">
        <v>9</v>
      </c>
      <c r="C11" s="24" t="s">
        <v>1336</v>
      </c>
      <c r="D11" s="7">
        <v>45954</v>
      </c>
      <c r="E11" s="24">
        <v>876330</v>
      </c>
      <c r="F11" s="12">
        <v>126.06</v>
      </c>
      <c r="G11" s="12">
        <f t="shared" si="0"/>
        <v>126.06</v>
      </c>
      <c r="H11" s="30">
        <v>45960</v>
      </c>
      <c r="I11" s="24"/>
      <c r="J11" s="56">
        <v>2530003225</v>
      </c>
    </row>
    <row r="12" spans="1:10" x14ac:dyDescent="0.25">
      <c r="A12" s="2">
        <v>548</v>
      </c>
      <c r="B12" s="24" t="s">
        <v>9</v>
      </c>
      <c r="C12" s="24" t="s">
        <v>1303</v>
      </c>
      <c r="D12" s="7">
        <v>45959</v>
      </c>
      <c r="E12" s="24">
        <v>877334</v>
      </c>
      <c r="F12" s="12">
        <v>134.43</v>
      </c>
      <c r="G12" s="12">
        <f t="shared" si="0"/>
        <v>134.43</v>
      </c>
      <c r="H12" s="30">
        <v>45960</v>
      </c>
      <c r="I12" s="24"/>
      <c r="J12" s="56">
        <v>2530003224</v>
      </c>
    </row>
    <row r="13" spans="1:10" x14ac:dyDescent="0.25">
      <c r="A13" s="2">
        <v>583</v>
      </c>
      <c r="B13" s="24" t="s">
        <v>9</v>
      </c>
      <c r="C13" s="24" t="s">
        <v>1291</v>
      </c>
      <c r="D13" s="7">
        <v>45961</v>
      </c>
      <c r="E13" s="24">
        <v>877366</v>
      </c>
      <c r="F13" s="12">
        <v>198</v>
      </c>
      <c r="G13" s="12">
        <f t="shared" si="0"/>
        <v>198</v>
      </c>
      <c r="H13" s="30">
        <v>45974</v>
      </c>
      <c r="I13" s="24"/>
      <c r="J13" s="56">
        <v>2530003363</v>
      </c>
    </row>
    <row r="14" spans="1:10" x14ac:dyDescent="0.25">
      <c r="A14" s="2">
        <v>75</v>
      </c>
      <c r="B14" s="24" t="s">
        <v>9</v>
      </c>
      <c r="C14" s="24" t="s">
        <v>1288</v>
      </c>
      <c r="D14" s="7">
        <v>45964</v>
      </c>
      <c r="E14" s="44">
        <v>877388</v>
      </c>
      <c r="F14" s="12">
        <v>703.4</v>
      </c>
      <c r="G14" s="12">
        <f t="shared" si="0"/>
        <v>703.4</v>
      </c>
      <c r="H14" s="30">
        <v>45758.588888888888</v>
      </c>
      <c r="I14" s="24"/>
      <c r="J14" s="56">
        <v>2530003268</v>
      </c>
    </row>
    <row r="15" spans="1:10" x14ac:dyDescent="0.25">
      <c r="A15" s="2">
        <v>76</v>
      </c>
      <c r="B15" s="24" t="s">
        <v>9</v>
      </c>
      <c r="C15" s="24" t="s">
        <v>1283</v>
      </c>
      <c r="D15" s="7">
        <v>45964</v>
      </c>
      <c r="E15" s="44">
        <v>877399</v>
      </c>
      <c r="F15" s="12">
        <v>4149.83</v>
      </c>
      <c r="G15" s="12">
        <f t="shared" si="0"/>
        <v>4149.83</v>
      </c>
      <c r="H15" s="30">
        <v>45758.590277777781</v>
      </c>
      <c r="I15" s="24"/>
      <c r="J15" s="56">
        <v>2530003269</v>
      </c>
    </row>
    <row r="16" spans="1:10" x14ac:dyDescent="0.25">
      <c r="A16" s="2">
        <v>74</v>
      </c>
      <c r="B16" s="24" t="s">
        <v>9</v>
      </c>
      <c r="C16" s="24" t="s">
        <v>1278</v>
      </c>
      <c r="D16" s="7">
        <v>45965</v>
      </c>
      <c r="E16" s="44">
        <v>877410</v>
      </c>
      <c r="F16" s="12">
        <v>510</v>
      </c>
      <c r="G16" s="12">
        <f t="shared" si="0"/>
        <v>510</v>
      </c>
      <c r="H16" s="30">
        <v>45758.588194444441</v>
      </c>
      <c r="I16" s="24"/>
      <c r="J16" s="56">
        <v>2530003267</v>
      </c>
    </row>
    <row r="17" spans="1:10" x14ac:dyDescent="0.25">
      <c r="A17" s="2">
        <v>573</v>
      </c>
      <c r="B17" s="24" t="s">
        <v>9</v>
      </c>
      <c r="C17" s="24" t="s">
        <v>1271</v>
      </c>
      <c r="D17" s="7">
        <v>45966</v>
      </c>
      <c r="E17" s="24">
        <v>877425</v>
      </c>
      <c r="F17" s="12">
        <v>2900</v>
      </c>
      <c r="G17" s="12">
        <f t="shared" si="0"/>
        <v>2900</v>
      </c>
      <c r="H17" s="30">
        <v>45972.29583333333</v>
      </c>
      <c r="I17" s="24"/>
      <c r="J17" s="56">
        <v>2530003325</v>
      </c>
    </row>
    <row r="18" spans="1:10" x14ac:dyDescent="0.25">
      <c r="A18" s="2">
        <v>574</v>
      </c>
      <c r="B18" s="24" t="s">
        <v>9</v>
      </c>
      <c r="C18" s="24" t="s">
        <v>1252</v>
      </c>
      <c r="D18" s="7">
        <v>45967</v>
      </c>
      <c r="E18" s="24">
        <v>877442</v>
      </c>
      <c r="F18" s="12">
        <v>2118.39</v>
      </c>
      <c r="G18" s="12">
        <f t="shared" si="0"/>
        <v>2118.39</v>
      </c>
      <c r="H18" s="30">
        <v>45972.297222222223</v>
      </c>
      <c r="I18" s="24"/>
      <c r="J18" s="56">
        <v>2530003326</v>
      </c>
    </row>
    <row r="19" spans="1:10" x14ac:dyDescent="0.25">
      <c r="A19" s="2">
        <v>598</v>
      </c>
      <c r="B19" s="24" t="s">
        <v>9</v>
      </c>
      <c r="C19" s="24" t="s">
        <v>1236</v>
      </c>
      <c r="D19" s="7">
        <v>45971</v>
      </c>
      <c r="E19" s="24">
        <v>882326</v>
      </c>
      <c r="F19" s="12">
        <v>106.4</v>
      </c>
      <c r="G19" s="12">
        <f t="shared" si="0"/>
        <v>106.4</v>
      </c>
      <c r="H19" s="30">
        <v>45974</v>
      </c>
      <c r="I19" s="24"/>
      <c r="J19" s="56">
        <v>2530003364</v>
      </c>
    </row>
    <row r="20" spans="1:10" x14ac:dyDescent="0.25">
      <c r="A20" s="2">
        <v>66</v>
      </c>
      <c r="B20" s="24" t="s">
        <v>9</v>
      </c>
      <c r="C20" s="24" t="s">
        <v>1225</v>
      </c>
      <c r="D20" s="7">
        <v>45972</v>
      </c>
      <c r="E20" s="44">
        <v>882351</v>
      </c>
      <c r="F20" s="12">
        <v>408</v>
      </c>
      <c r="G20" s="12">
        <f t="shared" si="0"/>
        <v>408</v>
      </c>
      <c r="H20" s="4" t="s">
        <v>1754</v>
      </c>
      <c r="I20" s="24"/>
      <c r="J20" s="56">
        <v>2530003421</v>
      </c>
    </row>
    <row r="21" spans="1:10" x14ac:dyDescent="0.25">
      <c r="A21" s="2">
        <v>60</v>
      </c>
      <c r="B21" s="24" t="s">
        <v>9</v>
      </c>
      <c r="C21" s="24" t="s">
        <v>1214</v>
      </c>
      <c r="D21" s="7">
        <v>45973</v>
      </c>
      <c r="E21" s="44">
        <v>882379</v>
      </c>
      <c r="F21" s="12">
        <v>48</v>
      </c>
      <c r="G21" s="12">
        <f t="shared" si="0"/>
        <v>48</v>
      </c>
      <c r="H21" s="4" t="s">
        <v>1755</v>
      </c>
      <c r="I21" s="24"/>
      <c r="J21" s="56">
        <v>2530003423</v>
      </c>
    </row>
    <row r="22" spans="1:10" x14ac:dyDescent="0.25">
      <c r="A22" s="2">
        <v>58</v>
      </c>
      <c r="B22" s="24" t="s">
        <v>9</v>
      </c>
      <c r="C22" s="24" t="s">
        <v>1208</v>
      </c>
      <c r="D22" s="7">
        <v>45974</v>
      </c>
      <c r="E22" s="44">
        <v>882395</v>
      </c>
      <c r="F22" s="12">
        <v>208.69</v>
      </c>
      <c r="G22" s="12">
        <f t="shared" si="0"/>
        <v>208.69</v>
      </c>
      <c r="H22" s="4" t="s">
        <v>1756</v>
      </c>
      <c r="I22" s="24"/>
      <c r="J22" s="56">
        <v>2530003424</v>
      </c>
    </row>
    <row r="23" spans="1:10" x14ac:dyDescent="0.25">
      <c r="A23" s="2">
        <v>56</v>
      </c>
      <c r="B23" s="24" t="s">
        <v>9</v>
      </c>
      <c r="C23" s="24" t="s">
        <v>1203</v>
      </c>
      <c r="D23" s="7">
        <v>45975</v>
      </c>
      <c r="E23" s="44">
        <v>882421</v>
      </c>
      <c r="F23" s="12">
        <v>1812.91</v>
      </c>
      <c r="G23" s="12">
        <f t="shared" si="0"/>
        <v>1812.91</v>
      </c>
      <c r="H23" s="4" t="s">
        <v>1757</v>
      </c>
      <c r="I23" s="24"/>
      <c r="J23" s="56">
        <v>2530003453</v>
      </c>
    </row>
    <row r="24" spans="1:10" x14ac:dyDescent="0.25">
      <c r="A24" s="2">
        <v>67</v>
      </c>
      <c r="B24" s="24" t="s">
        <v>9</v>
      </c>
      <c r="C24" s="24" t="s">
        <v>1228</v>
      </c>
      <c r="D24" s="7">
        <v>45972</v>
      </c>
      <c r="E24" s="44">
        <v>883331</v>
      </c>
      <c r="F24" s="12">
        <v>19.5</v>
      </c>
      <c r="G24" s="12">
        <f t="shared" si="0"/>
        <v>19.5</v>
      </c>
      <c r="H24" s="4" t="s">
        <v>1758</v>
      </c>
      <c r="I24" s="24"/>
      <c r="J24" s="56">
        <v>2530003419</v>
      </c>
    </row>
    <row r="25" spans="1:10" ht="30" x14ac:dyDescent="0.25">
      <c r="A25" s="2">
        <v>101</v>
      </c>
      <c r="B25" s="24" t="s">
        <v>9</v>
      </c>
      <c r="C25" s="3" t="s">
        <v>10</v>
      </c>
      <c r="D25" s="5">
        <v>45766</v>
      </c>
      <c r="E25" s="3" t="s">
        <v>11</v>
      </c>
      <c r="F25" s="11">
        <v>16934.810000000001</v>
      </c>
      <c r="G25" s="12">
        <f t="shared" si="0"/>
        <v>16934.810000000001</v>
      </c>
      <c r="H25" s="28">
        <v>45798</v>
      </c>
      <c r="I25" s="3" t="s">
        <v>12</v>
      </c>
      <c r="J25" s="57" t="s">
        <v>13</v>
      </c>
    </row>
    <row r="26" spans="1:10" x14ac:dyDescent="0.25">
      <c r="A26" s="2">
        <v>81</v>
      </c>
      <c r="B26" s="24" t="s">
        <v>9</v>
      </c>
      <c r="C26" s="3" t="s">
        <v>14</v>
      </c>
      <c r="D26" s="5">
        <v>45766</v>
      </c>
      <c r="E26" s="3" t="s">
        <v>15</v>
      </c>
      <c r="F26" s="11">
        <v>5815.45</v>
      </c>
      <c r="G26" s="12">
        <f t="shared" si="0"/>
        <v>5815.45</v>
      </c>
      <c r="H26" s="28">
        <v>45783</v>
      </c>
      <c r="I26" s="3" t="s">
        <v>12</v>
      </c>
      <c r="J26" s="57" t="s">
        <v>16</v>
      </c>
    </row>
    <row r="27" spans="1:10" x14ac:dyDescent="0.25">
      <c r="A27" s="2">
        <v>102</v>
      </c>
      <c r="B27" s="24" t="s">
        <v>9</v>
      </c>
      <c r="C27" s="3" t="s">
        <v>17</v>
      </c>
      <c r="D27" s="5">
        <v>45768</v>
      </c>
      <c r="E27" s="3" t="s">
        <v>18</v>
      </c>
      <c r="F27" s="11">
        <v>37.5</v>
      </c>
      <c r="G27" s="12">
        <f t="shared" si="0"/>
        <v>37.5</v>
      </c>
      <c r="H27" s="28">
        <v>45798</v>
      </c>
      <c r="I27" s="3" t="s">
        <v>12</v>
      </c>
      <c r="J27" s="57" t="s">
        <v>19</v>
      </c>
    </row>
    <row r="28" spans="1:10" x14ac:dyDescent="0.25">
      <c r="A28" s="2">
        <v>103</v>
      </c>
      <c r="B28" s="24" t="s">
        <v>9</v>
      </c>
      <c r="C28" s="3" t="s">
        <v>20</v>
      </c>
      <c r="D28" s="5">
        <v>45770</v>
      </c>
      <c r="E28" s="3" t="s">
        <v>21</v>
      </c>
      <c r="F28" s="11">
        <v>29.45</v>
      </c>
      <c r="G28" s="12">
        <f t="shared" si="0"/>
        <v>29.45</v>
      </c>
      <c r="H28" s="28">
        <v>45798</v>
      </c>
      <c r="I28" s="3" t="s">
        <v>12</v>
      </c>
      <c r="J28" s="57" t="s">
        <v>22</v>
      </c>
    </row>
    <row r="29" spans="1:10" x14ac:dyDescent="0.25">
      <c r="A29" s="2">
        <v>140</v>
      </c>
      <c r="B29" s="24" t="s">
        <v>9</v>
      </c>
      <c r="C29" s="3" t="s">
        <v>23</v>
      </c>
      <c r="D29" s="5">
        <v>45777</v>
      </c>
      <c r="E29" s="3" t="s">
        <v>24</v>
      </c>
      <c r="F29" s="11">
        <v>59.66</v>
      </c>
      <c r="G29" s="12">
        <f t="shared" si="0"/>
        <v>59.66</v>
      </c>
      <c r="H29" s="28">
        <v>45819</v>
      </c>
      <c r="I29" s="3" t="s">
        <v>12</v>
      </c>
      <c r="J29" s="57" t="s">
        <v>25</v>
      </c>
    </row>
    <row r="30" spans="1:10" x14ac:dyDescent="0.25">
      <c r="A30" s="2">
        <v>104</v>
      </c>
      <c r="B30" s="24" t="s">
        <v>9</v>
      </c>
      <c r="C30" s="3" t="s">
        <v>26</v>
      </c>
      <c r="D30" s="5">
        <v>45777</v>
      </c>
      <c r="E30" s="3" t="s">
        <v>27</v>
      </c>
      <c r="F30" s="11">
        <v>75.14</v>
      </c>
      <c r="G30" s="12">
        <f t="shared" si="0"/>
        <v>75.14</v>
      </c>
      <c r="H30" s="28">
        <v>45798</v>
      </c>
      <c r="I30" s="3" t="s">
        <v>12</v>
      </c>
      <c r="J30" s="57" t="s">
        <v>28</v>
      </c>
    </row>
    <row r="31" spans="1:10" x14ac:dyDescent="0.25">
      <c r="A31" s="2">
        <v>105</v>
      </c>
      <c r="B31" s="24" t="s">
        <v>9</v>
      </c>
      <c r="C31" s="3" t="s">
        <v>29</v>
      </c>
      <c r="D31" s="5">
        <v>45778</v>
      </c>
      <c r="E31" s="3" t="s">
        <v>30</v>
      </c>
      <c r="F31" s="11">
        <v>1769</v>
      </c>
      <c r="G31" s="12">
        <f t="shared" si="0"/>
        <v>1769</v>
      </c>
      <c r="H31" s="28">
        <v>45798</v>
      </c>
      <c r="I31" s="3" t="s">
        <v>12</v>
      </c>
      <c r="J31" s="57" t="s">
        <v>31</v>
      </c>
    </row>
    <row r="32" spans="1:10" x14ac:dyDescent="0.25">
      <c r="A32" s="2">
        <v>54</v>
      </c>
      <c r="B32" s="24" t="s">
        <v>9</v>
      </c>
      <c r="C32" s="3" t="s">
        <v>32</v>
      </c>
      <c r="D32" s="5">
        <v>45782</v>
      </c>
      <c r="E32" s="54">
        <v>766267</v>
      </c>
      <c r="F32" s="11">
        <v>6173.99</v>
      </c>
      <c r="G32" s="12">
        <f t="shared" si="0"/>
        <v>0</v>
      </c>
      <c r="H32" s="4" t="s">
        <v>33</v>
      </c>
      <c r="I32" s="3" t="s">
        <v>12</v>
      </c>
      <c r="J32" s="57"/>
    </row>
    <row r="33" spans="1:10" x14ac:dyDescent="0.25">
      <c r="A33" s="2">
        <v>129</v>
      </c>
      <c r="B33" s="24" t="s">
        <v>9</v>
      </c>
      <c r="C33" s="3" t="s">
        <v>34</v>
      </c>
      <c r="D33" s="5">
        <v>45784</v>
      </c>
      <c r="E33" s="3" t="s">
        <v>35</v>
      </c>
      <c r="F33" s="11">
        <v>750</v>
      </c>
      <c r="G33" s="12">
        <f t="shared" si="0"/>
        <v>750</v>
      </c>
      <c r="H33" s="28">
        <v>45811</v>
      </c>
      <c r="I33" s="3" t="s">
        <v>12</v>
      </c>
      <c r="J33" s="57" t="s">
        <v>36</v>
      </c>
    </row>
    <row r="34" spans="1:10" x14ac:dyDescent="0.25">
      <c r="A34" s="2">
        <v>90</v>
      </c>
      <c r="B34" s="24" t="s">
        <v>9</v>
      </c>
      <c r="C34" s="3" t="s">
        <v>37</v>
      </c>
      <c r="D34" s="5">
        <v>45786</v>
      </c>
      <c r="E34" s="3" t="s">
        <v>38</v>
      </c>
      <c r="F34" s="11">
        <v>1437.9</v>
      </c>
      <c r="G34" s="12">
        <f t="shared" si="0"/>
        <v>1437.9</v>
      </c>
      <c r="H34" s="28">
        <v>45796</v>
      </c>
      <c r="I34" s="3" t="s">
        <v>12</v>
      </c>
      <c r="J34" s="57" t="s">
        <v>39</v>
      </c>
    </row>
    <row r="35" spans="1:10" x14ac:dyDescent="0.25">
      <c r="A35" s="2">
        <v>92</v>
      </c>
      <c r="B35" s="24" t="s">
        <v>9</v>
      </c>
      <c r="C35" s="3" t="s">
        <v>40</v>
      </c>
      <c r="D35" s="5">
        <v>45790</v>
      </c>
      <c r="E35" s="3" t="s">
        <v>41</v>
      </c>
      <c r="F35" s="11">
        <v>6492.04</v>
      </c>
      <c r="G35" s="12">
        <f t="shared" si="0"/>
        <v>6492.04</v>
      </c>
      <c r="H35" s="28">
        <v>45796</v>
      </c>
      <c r="I35" s="3" t="s">
        <v>12</v>
      </c>
      <c r="J35" s="57" t="s">
        <v>42</v>
      </c>
    </row>
    <row r="36" spans="1:10" x14ac:dyDescent="0.25">
      <c r="A36" s="2">
        <v>93</v>
      </c>
      <c r="B36" s="24" t="s">
        <v>9</v>
      </c>
      <c r="C36" s="3" t="s">
        <v>44</v>
      </c>
      <c r="D36" s="5">
        <v>45791</v>
      </c>
      <c r="E36" s="3" t="s">
        <v>45</v>
      </c>
      <c r="F36" s="11">
        <v>101.5</v>
      </c>
      <c r="G36" s="12">
        <f t="shared" si="0"/>
        <v>101.5</v>
      </c>
      <c r="H36" s="28">
        <v>45796</v>
      </c>
      <c r="I36" s="3" t="s">
        <v>12</v>
      </c>
      <c r="J36" s="57" t="s">
        <v>46</v>
      </c>
    </row>
    <row r="37" spans="1:10" x14ac:dyDescent="0.25">
      <c r="A37" s="2">
        <v>95</v>
      </c>
      <c r="B37" s="24" t="s">
        <v>9</v>
      </c>
      <c r="C37" s="3" t="s">
        <v>47</v>
      </c>
      <c r="D37" s="5">
        <v>45792</v>
      </c>
      <c r="E37" s="3" t="s">
        <v>48</v>
      </c>
      <c r="F37" s="12"/>
      <c r="G37" s="12">
        <f t="shared" si="0"/>
        <v>0</v>
      </c>
      <c r="H37" s="28">
        <v>45796</v>
      </c>
      <c r="I37" s="3" t="s">
        <v>12</v>
      </c>
      <c r="J37" s="57" t="s">
        <v>49</v>
      </c>
    </row>
    <row r="38" spans="1:10" x14ac:dyDescent="0.25">
      <c r="A38" s="2">
        <v>111</v>
      </c>
      <c r="B38" s="24" t="s">
        <v>9</v>
      </c>
      <c r="C38" s="3" t="s">
        <v>50</v>
      </c>
      <c r="D38" s="5">
        <v>45798</v>
      </c>
      <c r="E38" s="3" t="s">
        <v>51</v>
      </c>
      <c r="F38" s="11">
        <v>1877.6</v>
      </c>
      <c r="G38" s="12">
        <f t="shared" si="0"/>
        <v>1877.6</v>
      </c>
      <c r="H38" s="28">
        <v>45803</v>
      </c>
      <c r="I38" s="3" t="s">
        <v>12</v>
      </c>
      <c r="J38" s="57" t="s">
        <v>52</v>
      </c>
    </row>
    <row r="39" spans="1:10" x14ac:dyDescent="0.25">
      <c r="A39" s="2">
        <v>107</v>
      </c>
      <c r="B39" s="24" t="s">
        <v>9</v>
      </c>
      <c r="C39" s="3" t="s">
        <v>53</v>
      </c>
      <c r="D39" s="5">
        <v>45799</v>
      </c>
      <c r="E39" s="3" t="s">
        <v>54</v>
      </c>
      <c r="F39" s="11">
        <v>3400</v>
      </c>
      <c r="G39" s="12">
        <f t="shared" si="0"/>
        <v>3400</v>
      </c>
      <c r="H39" s="28">
        <v>45798</v>
      </c>
      <c r="I39" s="3" t="s">
        <v>12</v>
      </c>
      <c r="J39" s="57" t="s">
        <v>55</v>
      </c>
    </row>
    <row r="40" spans="1:10" x14ac:dyDescent="0.25">
      <c r="A40" s="2">
        <v>110</v>
      </c>
      <c r="B40" s="24" t="s">
        <v>9</v>
      </c>
      <c r="C40" s="3" t="s">
        <v>56</v>
      </c>
      <c r="D40" s="5">
        <v>45797</v>
      </c>
      <c r="E40" s="3" t="s">
        <v>57</v>
      </c>
      <c r="F40" s="11">
        <v>3810</v>
      </c>
      <c r="G40" s="12">
        <f t="shared" si="0"/>
        <v>3810</v>
      </c>
      <c r="H40" s="28">
        <v>45803</v>
      </c>
      <c r="I40" s="3" t="s">
        <v>12</v>
      </c>
      <c r="J40" s="57" t="s">
        <v>58</v>
      </c>
    </row>
    <row r="41" spans="1:10" x14ac:dyDescent="0.25">
      <c r="A41" s="2">
        <v>116</v>
      </c>
      <c r="B41" s="24" t="s">
        <v>9</v>
      </c>
      <c r="C41" s="3" t="s">
        <v>59</v>
      </c>
      <c r="D41" s="5">
        <v>45804</v>
      </c>
      <c r="E41" s="3" t="s">
        <v>60</v>
      </c>
      <c r="F41" s="11">
        <v>193.29</v>
      </c>
      <c r="G41" s="12">
        <f t="shared" si="0"/>
        <v>193.29</v>
      </c>
      <c r="H41" s="28">
        <v>45806</v>
      </c>
      <c r="I41" s="3" t="s">
        <v>12</v>
      </c>
      <c r="J41" s="57" t="s">
        <v>61</v>
      </c>
    </row>
    <row r="42" spans="1:10" x14ac:dyDescent="0.25">
      <c r="A42" s="2">
        <v>113</v>
      </c>
      <c r="B42" s="24" t="s">
        <v>9</v>
      </c>
      <c r="C42" s="3" t="s">
        <v>62</v>
      </c>
      <c r="D42" s="5">
        <v>45803</v>
      </c>
      <c r="E42" s="3" t="s">
        <v>63</v>
      </c>
      <c r="F42" s="11">
        <v>2715.17</v>
      </c>
      <c r="G42" s="12">
        <f t="shared" si="0"/>
        <v>2715.17</v>
      </c>
      <c r="H42" s="28">
        <v>45806</v>
      </c>
      <c r="I42" s="3" t="s">
        <v>12</v>
      </c>
      <c r="J42" s="57" t="s">
        <v>64</v>
      </c>
    </row>
    <row r="43" spans="1:10" x14ac:dyDescent="0.25">
      <c r="A43" s="2">
        <v>130</v>
      </c>
      <c r="B43" s="24" t="s">
        <v>9</v>
      </c>
      <c r="C43" s="3" t="s">
        <v>65</v>
      </c>
      <c r="D43" s="5">
        <v>45800</v>
      </c>
      <c r="E43" s="3" t="s">
        <v>66</v>
      </c>
      <c r="F43" s="11">
        <v>3454.04</v>
      </c>
      <c r="G43" s="12">
        <f t="shared" si="0"/>
        <v>3454.04</v>
      </c>
      <c r="H43" s="28">
        <v>45811</v>
      </c>
      <c r="I43" s="3" t="s">
        <v>12</v>
      </c>
      <c r="J43" s="57" t="s">
        <v>67</v>
      </c>
    </row>
    <row r="44" spans="1:10" x14ac:dyDescent="0.25">
      <c r="A44" s="2">
        <v>114</v>
      </c>
      <c r="B44" s="24" t="s">
        <v>9</v>
      </c>
      <c r="C44" s="3" t="s">
        <v>68</v>
      </c>
      <c r="D44" s="5">
        <v>45803</v>
      </c>
      <c r="E44" s="3" t="s">
        <v>69</v>
      </c>
      <c r="F44" s="11">
        <v>225</v>
      </c>
      <c r="G44" s="12">
        <f t="shared" si="0"/>
        <v>225</v>
      </c>
      <c r="H44" s="28">
        <v>45806</v>
      </c>
      <c r="I44" s="3" t="s">
        <v>12</v>
      </c>
      <c r="J44" s="57" t="s">
        <v>70</v>
      </c>
    </row>
    <row r="45" spans="1:10" x14ac:dyDescent="0.25">
      <c r="A45" s="2">
        <v>117</v>
      </c>
      <c r="B45" s="24" t="s">
        <v>9</v>
      </c>
      <c r="C45" s="3" t="s">
        <v>71</v>
      </c>
      <c r="D45" s="5">
        <v>45804</v>
      </c>
      <c r="E45" s="3" t="s">
        <v>72</v>
      </c>
      <c r="F45" s="11">
        <v>49.88</v>
      </c>
      <c r="G45" s="12">
        <f t="shared" si="0"/>
        <v>49.88</v>
      </c>
      <c r="H45" s="28">
        <v>45806</v>
      </c>
      <c r="I45" s="3" t="s">
        <v>12</v>
      </c>
      <c r="J45" s="57" t="s">
        <v>73</v>
      </c>
    </row>
    <row r="46" spans="1:10" x14ac:dyDescent="0.25">
      <c r="A46" s="2">
        <v>115</v>
      </c>
      <c r="B46" s="24" t="s">
        <v>9</v>
      </c>
      <c r="C46" s="3" t="s">
        <v>74</v>
      </c>
      <c r="D46" s="5">
        <v>45804</v>
      </c>
      <c r="E46" s="3" t="s">
        <v>75</v>
      </c>
      <c r="F46" s="11">
        <v>36798.69</v>
      </c>
      <c r="G46" s="12">
        <f t="shared" si="0"/>
        <v>36798.69</v>
      </c>
      <c r="H46" s="28">
        <v>45806</v>
      </c>
      <c r="I46" s="3" t="s">
        <v>12</v>
      </c>
      <c r="J46" s="57" t="s">
        <v>76</v>
      </c>
    </row>
    <row r="47" spans="1:10" x14ac:dyDescent="0.25">
      <c r="A47" s="2">
        <v>137</v>
      </c>
      <c r="B47" s="24" t="s">
        <v>9</v>
      </c>
      <c r="C47" s="3" t="s">
        <v>77</v>
      </c>
      <c r="D47" s="5">
        <v>45805</v>
      </c>
      <c r="E47" s="3" t="s">
        <v>78</v>
      </c>
      <c r="F47" s="11">
        <v>4212.6400000000003</v>
      </c>
      <c r="G47" s="12">
        <f t="shared" si="0"/>
        <v>4212.6400000000003</v>
      </c>
      <c r="H47" s="28">
        <v>45817</v>
      </c>
      <c r="I47" s="3" t="s">
        <v>12</v>
      </c>
      <c r="J47" s="57" t="s">
        <v>79</v>
      </c>
    </row>
    <row r="48" spans="1:10" x14ac:dyDescent="0.25">
      <c r="A48" s="2">
        <v>138</v>
      </c>
      <c r="B48" s="24" t="s">
        <v>9</v>
      </c>
      <c r="C48" s="3" t="s">
        <v>80</v>
      </c>
      <c r="D48" s="5">
        <v>45810</v>
      </c>
      <c r="E48" s="3" t="s">
        <v>81</v>
      </c>
      <c r="F48" s="11">
        <v>1246.8800000000001</v>
      </c>
      <c r="G48" s="12">
        <f t="shared" si="0"/>
        <v>1246.8800000000001</v>
      </c>
      <c r="H48" s="28">
        <v>45817</v>
      </c>
      <c r="I48" s="3" t="s">
        <v>12</v>
      </c>
      <c r="J48" s="57" t="s">
        <v>82</v>
      </c>
    </row>
    <row r="49" spans="1:10" x14ac:dyDescent="0.25">
      <c r="A49" s="2">
        <v>131</v>
      </c>
      <c r="B49" s="24" t="s">
        <v>9</v>
      </c>
      <c r="C49" s="3" t="s">
        <v>83</v>
      </c>
      <c r="D49" s="5">
        <v>45806</v>
      </c>
      <c r="E49" s="3" t="s">
        <v>84</v>
      </c>
      <c r="F49" s="11">
        <v>360</v>
      </c>
      <c r="G49" s="12">
        <f t="shared" si="0"/>
        <v>360</v>
      </c>
      <c r="H49" s="28">
        <v>45811</v>
      </c>
      <c r="I49" s="3" t="s">
        <v>12</v>
      </c>
      <c r="J49" s="57" t="s">
        <v>85</v>
      </c>
    </row>
    <row r="50" spans="1:10" x14ac:dyDescent="0.25">
      <c r="A50" s="2">
        <v>153</v>
      </c>
      <c r="B50" s="24" t="s">
        <v>9</v>
      </c>
      <c r="C50" s="3" t="s">
        <v>86</v>
      </c>
      <c r="D50" s="5">
        <v>45818</v>
      </c>
      <c r="E50" s="3" t="s">
        <v>87</v>
      </c>
      <c r="F50" s="11">
        <v>1254</v>
      </c>
      <c r="G50" s="12">
        <f t="shared" si="0"/>
        <v>1254</v>
      </c>
      <c r="H50" s="28">
        <v>45821</v>
      </c>
      <c r="I50" s="3" t="s">
        <v>12</v>
      </c>
      <c r="J50" s="57" t="s">
        <v>88</v>
      </c>
    </row>
    <row r="51" spans="1:10" x14ac:dyDescent="0.25">
      <c r="A51" s="2">
        <v>152</v>
      </c>
      <c r="B51" s="24" t="s">
        <v>9</v>
      </c>
      <c r="C51" s="3" t="s">
        <v>89</v>
      </c>
      <c r="D51" s="5">
        <v>45818</v>
      </c>
      <c r="E51" s="3" t="s">
        <v>90</v>
      </c>
      <c r="F51" s="11">
        <v>519.09</v>
      </c>
      <c r="G51" s="12">
        <f t="shared" si="0"/>
        <v>519.09</v>
      </c>
      <c r="H51" s="28">
        <v>45821</v>
      </c>
      <c r="I51" s="3" t="s">
        <v>12</v>
      </c>
      <c r="J51" s="57" t="s">
        <v>91</v>
      </c>
    </row>
    <row r="52" spans="1:10" x14ac:dyDescent="0.25">
      <c r="A52" s="2">
        <v>154</v>
      </c>
      <c r="B52" s="24" t="s">
        <v>9</v>
      </c>
      <c r="C52" s="3" t="s">
        <v>92</v>
      </c>
      <c r="D52" s="5">
        <v>45819</v>
      </c>
      <c r="E52" s="3" t="s">
        <v>93</v>
      </c>
      <c r="F52" s="11">
        <v>1187</v>
      </c>
      <c r="G52" s="12">
        <f t="shared" si="0"/>
        <v>1187</v>
      </c>
      <c r="H52" s="28">
        <v>45821</v>
      </c>
      <c r="I52" s="3" t="s">
        <v>12</v>
      </c>
      <c r="J52" s="57" t="s">
        <v>94</v>
      </c>
    </row>
    <row r="53" spans="1:10" x14ac:dyDescent="0.25">
      <c r="A53" s="2">
        <v>156</v>
      </c>
      <c r="B53" s="3" t="s">
        <v>95</v>
      </c>
      <c r="C53" s="3" t="s">
        <v>96</v>
      </c>
      <c r="D53" s="5">
        <v>45820</v>
      </c>
      <c r="E53" s="3" t="s">
        <v>97</v>
      </c>
      <c r="F53" s="11">
        <v>9155</v>
      </c>
      <c r="G53" s="12">
        <f t="shared" si="0"/>
        <v>9155</v>
      </c>
      <c r="H53" s="28">
        <v>45824</v>
      </c>
      <c r="I53" s="3" t="s">
        <v>12</v>
      </c>
      <c r="J53" s="57" t="s">
        <v>98</v>
      </c>
    </row>
    <row r="54" spans="1:10" x14ac:dyDescent="0.25">
      <c r="A54" s="2">
        <v>171</v>
      </c>
      <c r="B54" s="24" t="s">
        <v>9</v>
      </c>
      <c r="C54" s="3" t="s">
        <v>100</v>
      </c>
      <c r="D54" s="5">
        <v>45824</v>
      </c>
      <c r="E54" s="3" t="s">
        <v>101</v>
      </c>
      <c r="F54" s="11">
        <v>403</v>
      </c>
      <c r="G54" s="12">
        <f t="shared" si="0"/>
        <v>403</v>
      </c>
      <c r="H54" s="28">
        <v>45831</v>
      </c>
      <c r="I54" s="3" t="s">
        <v>12</v>
      </c>
      <c r="J54" s="57" t="s">
        <v>102</v>
      </c>
    </row>
    <row r="55" spans="1:10" x14ac:dyDescent="0.25">
      <c r="A55" s="2">
        <v>51</v>
      </c>
      <c r="B55" s="24" t="s">
        <v>9</v>
      </c>
      <c r="C55" s="3" t="s">
        <v>103</v>
      </c>
      <c r="D55" s="5">
        <v>45826</v>
      </c>
      <c r="E55" s="54">
        <v>789260</v>
      </c>
      <c r="F55" s="11">
        <v>19.399999999999999</v>
      </c>
      <c r="G55" s="12">
        <f t="shared" si="0"/>
        <v>0</v>
      </c>
      <c r="H55" s="4" t="s">
        <v>33</v>
      </c>
      <c r="I55" s="3" t="s">
        <v>12</v>
      </c>
      <c r="J55" s="57"/>
    </row>
    <row r="56" spans="1:10" x14ac:dyDescent="0.25">
      <c r="A56" s="2">
        <v>176</v>
      </c>
      <c r="B56" s="24" t="s">
        <v>9</v>
      </c>
      <c r="C56" s="3" t="s">
        <v>104</v>
      </c>
      <c r="D56" s="5">
        <v>45827</v>
      </c>
      <c r="E56" s="3" t="s">
        <v>105</v>
      </c>
      <c r="F56" s="11">
        <v>470</v>
      </c>
      <c r="G56" s="12">
        <f t="shared" si="0"/>
        <v>470</v>
      </c>
      <c r="H56" s="28">
        <v>45833</v>
      </c>
      <c r="I56" s="3" t="s">
        <v>12</v>
      </c>
      <c r="J56" s="57" t="s">
        <v>106</v>
      </c>
    </row>
    <row r="57" spans="1:10" x14ac:dyDescent="0.25">
      <c r="A57" s="2">
        <v>221</v>
      </c>
      <c r="B57" s="24" t="s">
        <v>9</v>
      </c>
      <c r="C57" s="3" t="s">
        <v>107</v>
      </c>
      <c r="D57" s="5">
        <v>45827</v>
      </c>
      <c r="E57" s="3" t="s">
        <v>108</v>
      </c>
      <c r="F57" s="11">
        <v>112.86</v>
      </c>
      <c r="G57" s="12">
        <f t="shared" si="0"/>
        <v>112.86</v>
      </c>
      <c r="H57" s="28">
        <v>45848</v>
      </c>
      <c r="I57" s="3" t="s">
        <v>12</v>
      </c>
      <c r="J57" s="57" t="s">
        <v>109</v>
      </c>
    </row>
    <row r="58" spans="1:10" x14ac:dyDescent="0.25">
      <c r="A58" s="2">
        <v>173</v>
      </c>
      <c r="B58" s="24" t="s">
        <v>9</v>
      </c>
      <c r="C58" s="3" t="s">
        <v>110</v>
      </c>
      <c r="D58" s="5">
        <v>45830</v>
      </c>
      <c r="E58" s="3" t="s">
        <v>111</v>
      </c>
      <c r="F58" s="11">
        <v>194.6</v>
      </c>
      <c r="G58" s="12">
        <f t="shared" si="0"/>
        <v>194.6</v>
      </c>
      <c r="H58" s="28">
        <v>45831</v>
      </c>
      <c r="I58" s="3" t="s">
        <v>12</v>
      </c>
      <c r="J58" s="57" t="s">
        <v>112</v>
      </c>
    </row>
    <row r="59" spans="1:10" x14ac:dyDescent="0.25">
      <c r="A59" s="2">
        <v>174</v>
      </c>
      <c r="B59" s="3" t="s">
        <v>95</v>
      </c>
      <c r="C59" s="3" t="s">
        <v>113</v>
      </c>
      <c r="D59" s="5">
        <v>45831</v>
      </c>
      <c r="E59" s="3" t="s">
        <v>114</v>
      </c>
      <c r="F59" s="11">
        <v>1913.03</v>
      </c>
      <c r="G59" s="12">
        <f t="shared" si="0"/>
        <v>1913.03</v>
      </c>
      <c r="H59" s="28">
        <v>45831</v>
      </c>
      <c r="I59" s="3" t="s">
        <v>12</v>
      </c>
      <c r="J59" s="57" t="s">
        <v>115</v>
      </c>
    </row>
    <row r="60" spans="1:10" x14ac:dyDescent="0.25">
      <c r="A60" s="2">
        <v>172</v>
      </c>
      <c r="B60" s="24" t="s">
        <v>9</v>
      </c>
      <c r="C60" s="3" t="s">
        <v>116</v>
      </c>
      <c r="D60" s="5">
        <v>45828</v>
      </c>
      <c r="E60" s="3" t="s">
        <v>117</v>
      </c>
      <c r="F60" s="11">
        <v>107.5</v>
      </c>
      <c r="G60" s="12">
        <f t="shared" si="0"/>
        <v>107.5</v>
      </c>
      <c r="H60" s="28">
        <v>45831</v>
      </c>
      <c r="I60" s="3" t="s">
        <v>12</v>
      </c>
      <c r="J60" s="57" t="s">
        <v>118</v>
      </c>
    </row>
    <row r="61" spans="1:10" x14ac:dyDescent="0.25">
      <c r="A61" s="2">
        <v>178</v>
      </c>
      <c r="B61" s="3" t="s">
        <v>95</v>
      </c>
      <c r="C61" s="3" t="s">
        <v>119</v>
      </c>
      <c r="D61" s="5">
        <v>45831</v>
      </c>
      <c r="E61" s="3" t="s">
        <v>120</v>
      </c>
      <c r="F61" s="11">
        <v>1747.66</v>
      </c>
      <c r="G61" s="12">
        <f t="shared" si="0"/>
        <v>1747.66</v>
      </c>
      <c r="H61" s="28">
        <v>45833</v>
      </c>
      <c r="I61" s="3" t="s">
        <v>12</v>
      </c>
      <c r="J61" s="57" t="s">
        <v>115</v>
      </c>
    </row>
    <row r="62" spans="1:10" x14ac:dyDescent="0.25">
      <c r="A62" s="2">
        <v>180</v>
      </c>
      <c r="B62" s="3" t="s">
        <v>95</v>
      </c>
      <c r="C62" s="3" t="s">
        <v>121</v>
      </c>
      <c r="D62" s="5">
        <v>45832</v>
      </c>
      <c r="E62" s="3" t="s">
        <v>122</v>
      </c>
      <c r="F62" s="11">
        <v>644</v>
      </c>
      <c r="G62" s="12">
        <f t="shared" si="0"/>
        <v>644</v>
      </c>
      <c r="H62" s="28">
        <v>45833</v>
      </c>
      <c r="I62" s="3" t="s">
        <v>12</v>
      </c>
      <c r="J62" s="57" t="s">
        <v>115</v>
      </c>
    </row>
    <row r="63" spans="1:10" x14ac:dyDescent="0.25">
      <c r="A63" s="2">
        <v>222</v>
      </c>
      <c r="B63" s="3" t="s">
        <v>95</v>
      </c>
      <c r="C63" s="3" t="s">
        <v>123</v>
      </c>
      <c r="D63" s="5">
        <v>45832</v>
      </c>
      <c r="E63" s="3" t="s">
        <v>124</v>
      </c>
      <c r="F63" s="11">
        <v>392</v>
      </c>
      <c r="G63" s="12">
        <f t="shared" si="0"/>
        <v>392</v>
      </c>
      <c r="H63" s="28">
        <v>45848</v>
      </c>
      <c r="I63" s="3" t="s">
        <v>12</v>
      </c>
      <c r="J63" s="57" t="s">
        <v>125</v>
      </c>
    </row>
    <row r="64" spans="1:10" x14ac:dyDescent="0.25">
      <c r="A64" s="2">
        <v>179</v>
      </c>
      <c r="B64" s="3" t="s">
        <v>95</v>
      </c>
      <c r="C64" s="3" t="s">
        <v>126</v>
      </c>
      <c r="D64" s="5">
        <v>45832</v>
      </c>
      <c r="E64" s="3" t="s">
        <v>127</v>
      </c>
      <c r="F64" s="11">
        <v>1110</v>
      </c>
      <c r="G64" s="12">
        <f t="shared" si="0"/>
        <v>1110</v>
      </c>
      <c r="H64" s="28">
        <v>45833</v>
      </c>
      <c r="I64" s="3" t="s">
        <v>12</v>
      </c>
      <c r="J64" s="57" t="s">
        <v>115</v>
      </c>
    </row>
    <row r="65" spans="1:10" x14ac:dyDescent="0.25">
      <c r="A65" s="2">
        <v>50</v>
      </c>
      <c r="B65" s="24" t="s">
        <v>9</v>
      </c>
      <c r="C65" s="3" t="s">
        <v>128</v>
      </c>
      <c r="D65" s="5">
        <v>45833</v>
      </c>
      <c r="E65" s="54">
        <v>795278</v>
      </c>
      <c r="F65" s="11">
        <v>600</v>
      </c>
      <c r="G65" s="12">
        <f t="shared" ref="G65:G128" si="1">IF(J65&gt;0,F65,0)</f>
        <v>0</v>
      </c>
      <c r="H65" s="4" t="s">
        <v>33</v>
      </c>
      <c r="I65" s="3" t="s">
        <v>12</v>
      </c>
      <c r="J65" s="57"/>
    </row>
    <row r="66" spans="1:10" x14ac:dyDescent="0.25">
      <c r="A66" s="2">
        <v>204</v>
      </c>
      <c r="B66" s="3" t="s">
        <v>95</v>
      </c>
      <c r="C66" s="3" t="s">
        <v>129</v>
      </c>
      <c r="D66" s="5">
        <v>45833</v>
      </c>
      <c r="E66" s="3" t="s">
        <v>130</v>
      </c>
      <c r="F66" s="11">
        <v>891.52</v>
      </c>
      <c r="G66" s="12">
        <f t="shared" si="1"/>
        <v>891.52</v>
      </c>
      <c r="H66" s="28">
        <v>45841</v>
      </c>
      <c r="I66" s="3" t="s">
        <v>12</v>
      </c>
      <c r="J66" s="57" t="s">
        <v>131</v>
      </c>
    </row>
    <row r="67" spans="1:10" x14ac:dyDescent="0.25">
      <c r="A67" s="2">
        <v>177</v>
      </c>
      <c r="B67" s="3" t="s">
        <v>95</v>
      </c>
      <c r="C67" s="3" t="s">
        <v>132</v>
      </c>
      <c r="D67" s="5">
        <v>45831</v>
      </c>
      <c r="E67" s="3" t="s">
        <v>133</v>
      </c>
      <c r="F67" s="11">
        <v>1623.1</v>
      </c>
      <c r="G67" s="12">
        <f t="shared" si="1"/>
        <v>1623.1</v>
      </c>
      <c r="H67" s="28">
        <v>45833</v>
      </c>
      <c r="I67" s="3" t="s">
        <v>12</v>
      </c>
      <c r="J67" s="57" t="s">
        <v>134</v>
      </c>
    </row>
    <row r="68" spans="1:10" x14ac:dyDescent="0.25">
      <c r="A68" s="2">
        <v>181</v>
      </c>
      <c r="B68" s="24" t="s">
        <v>9</v>
      </c>
      <c r="C68" s="3" t="s">
        <v>135</v>
      </c>
      <c r="D68" s="5">
        <v>45832</v>
      </c>
      <c r="E68" s="3" t="s">
        <v>136</v>
      </c>
      <c r="F68" s="11">
        <v>9.0500000000000007</v>
      </c>
      <c r="G68" s="12">
        <f t="shared" si="1"/>
        <v>9.0500000000000007</v>
      </c>
      <c r="H68" s="28">
        <v>45833</v>
      </c>
      <c r="I68" s="3" t="s">
        <v>12</v>
      </c>
      <c r="J68" s="57" t="s">
        <v>115</v>
      </c>
    </row>
    <row r="69" spans="1:10" x14ac:dyDescent="0.25">
      <c r="A69" s="2">
        <v>203</v>
      </c>
      <c r="B69" s="3" t="s">
        <v>95</v>
      </c>
      <c r="C69" s="3" t="s">
        <v>137</v>
      </c>
      <c r="D69" s="5">
        <v>45833</v>
      </c>
      <c r="E69" s="3" t="s">
        <v>138</v>
      </c>
      <c r="F69" s="11">
        <v>1287.95</v>
      </c>
      <c r="G69" s="12">
        <f t="shared" si="1"/>
        <v>1287.95</v>
      </c>
      <c r="H69" s="28">
        <v>45841</v>
      </c>
      <c r="I69" s="3" t="s">
        <v>12</v>
      </c>
      <c r="J69" s="57" t="s">
        <v>131</v>
      </c>
    </row>
    <row r="70" spans="1:10" x14ac:dyDescent="0.25">
      <c r="A70" s="2">
        <v>190</v>
      </c>
      <c r="B70" s="3" t="s">
        <v>95</v>
      </c>
      <c r="C70" s="3" t="s">
        <v>139</v>
      </c>
      <c r="D70" s="5">
        <v>45833</v>
      </c>
      <c r="E70" s="3" t="s">
        <v>140</v>
      </c>
      <c r="F70" s="11">
        <v>697.95</v>
      </c>
      <c r="G70" s="12">
        <f t="shared" si="1"/>
        <v>697.95</v>
      </c>
      <c r="H70" s="28">
        <v>45838</v>
      </c>
      <c r="I70" s="3" t="s">
        <v>12</v>
      </c>
      <c r="J70" s="57" t="s">
        <v>98</v>
      </c>
    </row>
    <row r="71" spans="1:10" x14ac:dyDescent="0.25">
      <c r="A71" s="2">
        <v>225</v>
      </c>
      <c r="B71" s="24" t="s">
        <v>9</v>
      </c>
      <c r="C71" s="3" t="s">
        <v>141</v>
      </c>
      <c r="D71" s="5">
        <v>45838</v>
      </c>
      <c r="E71" s="3" t="s">
        <v>142</v>
      </c>
      <c r="F71" s="11">
        <v>2384.7800000000002</v>
      </c>
      <c r="G71" s="12">
        <f t="shared" si="1"/>
        <v>2384.7800000000002</v>
      </c>
      <c r="H71" s="28">
        <v>45848</v>
      </c>
      <c r="I71" s="3" t="s">
        <v>12</v>
      </c>
      <c r="J71" s="57" t="s">
        <v>143</v>
      </c>
    </row>
    <row r="72" spans="1:10" x14ac:dyDescent="0.25">
      <c r="A72" s="2">
        <v>193</v>
      </c>
      <c r="B72" s="24" t="s">
        <v>9</v>
      </c>
      <c r="C72" s="3" t="s">
        <v>144</v>
      </c>
      <c r="D72" s="5">
        <v>45839</v>
      </c>
      <c r="E72" s="3" t="s">
        <v>145</v>
      </c>
      <c r="F72" s="11">
        <v>17158.43</v>
      </c>
      <c r="G72" s="12">
        <f t="shared" si="1"/>
        <v>17158.43</v>
      </c>
      <c r="H72" s="28">
        <v>45839</v>
      </c>
      <c r="I72" s="3" t="s">
        <v>12</v>
      </c>
      <c r="J72" s="57" t="s">
        <v>146</v>
      </c>
    </row>
    <row r="73" spans="1:10" x14ac:dyDescent="0.25">
      <c r="A73" s="2">
        <v>224</v>
      </c>
      <c r="B73" s="24" t="s">
        <v>9</v>
      </c>
      <c r="C73" s="3" t="s">
        <v>147</v>
      </c>
      <c r="D73" s="5">
        <v>45834</v>
      </c>
      <c r="E73" s="3" t="s">
        <v>148</v>
      </c>
      <c r="F73" s="11">
        <v>18</v>
      </c>
      <c r="G73" s="12">
        <f t="shared" si="1"/>
        <v>18</v>
      </c>
      <c r="H73" s="28">
        <v>45848</v>
      </c>
      <c r="I73" s="3" t="s">
        <v>12</v>
      </c>
      <c r="J73" s="57" t="s">
        <v>149</v>
      </c>
    </row>
    <row r="74" spans="1:10" x14ac:dyDescent="0.25">
      <c r="A74" s="2">
        <v>342</v>
      </c>
      <c r="B74" s="24" t="s">
        <v>9</v>
      </c>
      <c r="C74" s="3" t="s">
        <v>150</v>
      </c>
      <c r="D74" s="5">
        <v>45845</v>
      </c>
      <c r="E74" s="3" t="s">
        <v>151</v>
      </c>
      <c r="F74" s="11">
        <v>1852.77</v>
      </c>
      <c r="G74" s="12">
        <f t="shared" si="1"/>
        <v>1852.77</v>
      </c>
      <c r="H74" s="28">
        <v>45883</v>
      </c>
      <c r="I74" s="3" t="s">
        <v>12</v>
      </c>
      <c r="J74" s="57" t="s">
        <v>152</v>
      </c>
    </row>
    <row r="75" spans="1:10" x14ac:dyDescent="0.25">
      <c r="A75" s="2">
        <v>265</v>
      </c>
      <c r="B75" s="24" t="s">
        <v>9</v>
      </c>
      <c r="C75" s="3" t="s">
        <v>153</v>
      </c>
      <c r="D75" s="5">
        <v>45845</v>
      </c>
      <c r="E75" s="3" t="s">
        <v>154</v>
      </c>
      <c r="F75" s="11">
        <v>86.7</v>
      </c>
      <c r="G75" s="12">
        <f t="shared" si="1"/>
        <v>86.7</v>
      </c>
      <c r="H75" s="28">
        <v>45861</v>
      </c>
      <c r="I75" s="3" t="s">
        <v>12</v>
      </c>
      <c r="J75" s="57" t="s">
        <v>155</v>
      </c>
    </row>
    <row r="76" spans="1:10" x14ac:dyDescent="0.25">
      <c r="A76" s="2">
        <v>227</v>
      </c>
      <c r="B76" s="3" t="s">
        <v>95</v>
      </c>
      <c r="C76" s="3" t="s">
        <v>156</v>
      </c>
      <c r="D76" s="5">
        <v>45845</v>
      </c>
      <c r="E76" s="3" t="s">
        <v>157</v>
      </c>
      <c r="F76" s="11">
        <v>5549.03</v>
      </c>
      <c r="G76" s="12">
        <f t="shared" si="1"/>
        <v>5549.03</v>
      </c>
      <c r="H76" s="28">
        <v>45848</v>
      </c>
      <c r="I76" s="3" t="s">
        <v>12</v>
      </c>
      <c r="J76" s="57" t="s">
        <v>158</v>
      </c>
    </row>
    <row r="77" spans="1:10" x14ac:dyDescent="0.25">
      <c r="A77" s="2">
        <v>228</v>
      </c>
      <c r="B77" s="3" t="s">
        <v>95</v>
      </c>
      <c r="C77" s="3" t="s">
        <v>159</v>
      </c>
      <c r="D77" s="5">
        <v>45845</v>
      </c>
      <c r="E77" s="3" t="s">
        <v>160</v>
      </c>
      <c r="F77" s="11">
        <v>3351.99</v>
      </c>
      <c r="G77" s="12">
        <f t="shared" si="1"/>
        <v>3351.99</v>
      </c>
      <c r="H77" s="28">
        <v>45848</v>
      </c>
      <c r="I77" s="3" t="s">
        <v>12</v>
      </c>
      <c r="J77" s="57" t="s">
        <v>161</v>
      </c>
    </row>
    <row r="78" spans="1:10" x14ac:dyDescent="0.25">
      <c r="A78" s="2">
        <v>226</v>
      </c>
      <c r="B78" s="3" t="s">
        <v>95</v>
      </c>
      <c r="C78" s="3" t="s">
        <v>162</v>
      </c>
      <c r="D78" s="5">
        <v>45845</v>
      </c>
      <c r="E78" s="3" t="s">
        <v>163</v>
      </c>
      <c r="F78" s="11">
        <v>1470.98</v>
      </c>
      <c r="G78" s="12">
        <f t="shared" si="1"/>
        <v>1470.98</v>
      </c>
      <c r="H78" s="28">
        <v>45848</v>
      </c>
      <c r="I78" s="3" t="s">
        <v>12</v>
      </c>
      <c r="J78" s="57" t="s">
        <v>164</v>
      </c>
    </row>
    <row r="79" spans="1:10" x14ac:dyDescent="0.25">
      <c r="A79" s="2">
        <v>242</v>
      </c>
      <c r="B79" s="3" t="s">
        <v>95</v>
      </c>
      <c r="C79" s="3" t="s">
        <v>165</v>
      </c>
      <c r="D79" s="5">
        <v>45852</v>
      </c>
      <c r="E79" s="3" t="s">
        <v>166</v>
      </c>
      <c r="F79" s="11">
        <v>692.52</v>
      </c>
      <c r="G79" s="12">
        <f t="shared" si="1"/>
        <v>692.52</v>
      </c>
      <c r="H79" s="28">
        <v>45853</v>
      </c>
      <c r="I79" s="3" t="s">
        <v>12</v>
      </c>
      <c r="J79" s="57" t="s">
        <v>167</v>
      </c>
    </row>
    <row r="80" spans="1:10" x14ac:dyDescent="0.25">
      <c r="A80" s="2">
        <v>241</v>
      </c>
      <c r="B80" s="24" t="s">
        <v>9</v>
      </c>
      <c r="C80" s="3" t="s">
        <v>168</v>
      </c>
      <c r="D80" s="5">
        <v>45852</v>
      </c>
      <c r="E80" s="3" t="s">
        <v>169</v>
      </c>
      <c r="F80" s="11">
        <v>3780.76</v>
      </c>
      <c r="G80" s="12">
        <f t="shared" si="1"/>
        <v>3780.76</v>
      </c>
      <c r="H80" s="28">
        <v>45853</v>
      </c>
      <c r="I80" s="3" t="s">
        <v>12</v>
      </c>
      <c r="J80" s="57" t="s">
        <v>170</v>
      </c>
    </row>
    <row r="81" spans="1:10" x14ac:dyDescent="0.25">
      <c r="A81" s="2">
        <v>247</v>
      </c>
      <c r="B81" s="24" t="s">
        <v>9</v>
      </c>
      <c r="C81" s="3" t="s">
        <v>171</v>
      </c>
      <c r="D81" s="5">
        <v>45853</v>
      </c>
      <c r="E81" s="3" t="s">
        <v>172</v>
      </c>
      <c r="F81" s="11">
        <v>5689.58</v>
      </c>
      <c r="G81" s="12">
        <f t="shared" si="1"/>
        <v>5689.58</v>
      </c>
      <c r="H81" s="28">
        <v>45855</v>
      </c>
      <c r="I81" s="3" t="s">
        <v>12</v>
      </c>
      <c r="J81" s="57" t="s">
        <v>173</v>
      </c>
    </row>
    <row r="82" spans="1:10" x14ac:dyDescent="0.25">
      <c r="A82" s="2">
        <v>252</v>
      </c>
      <c r="B82" s="24" t="s">
        <v>9</v>
      </c>
      <c r="C82" s="3" t="s">
        <v>174</v>
      </c>
      <c r="D82" s="5">
        <v>45855</v>
      </c>
      <c r="E82" s="3" t="s">
        <v>175</v>
      </c>
      <c r="F82" s="11">
        <v>2644.82</v>
      </c>
      <c r="G82" s="12">
        <f t="shared" si="1"/>
        <v>2644.82</v>
      </c>
      <c r="H82" s="28">
        <v>45856</v>
      </c>
      <c r="I82" s="3" t="s">
        <v>12</v>
      </c>
      <c r="J82" s="57" t="s">
        <v>176</v>
      </c>
    </row>
    <row r="83" spans="1:10" x14ac:dyDescent="0.25">
      <c r="A83" s="2">
        <v>268</v>
      </c>
      <c r="B83" s="24" t="s">
        <v>9</v>
      </c>
      <c r="C83" s="3" t="s">
        <v>177</v>
      </c>
      <c r="D83" s="5">
        <v>45856</v>
      </c>
      <c r="E83" s="3" t="s">
        <v>178</v>
      </c>
      <c r="F83" s="11">
        <v>427.63</v>
      </c>
      <c r="G83" s="12">
        <f t="shared" si="1"/>
        <v>427.63</v>
      </c>
      <c r="H83" s="28">
        <v>45861</v>
      </c>
      <c r="I83" s="3" t="s">
        <v>12</v>
      </c>
      <c r="J83" s="57" t="s">
        <v>179</v>
      </c>
    </row>
    <row r="84" spans="1:10" x14ac:dyDescent="0.25">
      <c r="A84" s="2">
        <v>269</v>
      </c>
      <c r="B84" s="24" t="s">
        <v>9</v>
      </c>
      <c r="C84" s="3" t="s">
        <v>180</v>
      </c>
      <c r="D84" s="5">
        <v>45859</v>
      </c>
      <c r="E84" s="3" t="s">
        <v>181</v>
      </c>
      <c r="F84" s="11">
        <v>45.01</v>
      </c>
      <c r="G84" s="12">
        <f t="shared" si="1"/>
        <v>45.01</v>
      </c>
      <c r="H84" s="28">
        <v>45861</v>
      </c>
      <c r="I84" s="3" t="s">
        <v>12</v>
      </c>
      <c r="J84" s="57" t="s">
        <v>182</v>
      </c>
    </row>
    <row r="85" spans="1:10" x14ac:dyDescent="0.25">
      <c r="A85" s="2">
        <v>49</v>
      </c>
      <c r="B85" s="24" t="s">
        <v>9</v>
      </c>
      <c r="C85" s="3" t="s">
        <v>183</v>
      </c>
      <c r="D85" s="5">
        <v>45859</v>
      </c>
      <c r="E85" s="54">
        <v>808273</v>
      </c>
      <c r="F85" s="11">
        <v>55</v>
      </c>
      <c r="G85" s="12">
        <f t="shared" si="1"/>
        <v>0</v>
      </c>
      <c r="H85" s="4" t="s">
        <v>33</v>
      </c>
      <c r="I85" s="3" t="s">
        <v>12</v>
      </c>
      <c r="J85" s="57"/>
    </row>
    <row r="86" spans="1:10" x14ac:dyDescent="0.25">
      <c r="A86" s="2">
        <v>271</v>
      </c>
      <c r="B86" s="24" t="s">
        <v>9</v>
      </c>
      <c r="C86" s="3" t="s">
        <v>184</v>
      </c>
      <c r="D86" s="5">
        <v>45860</v>
      </c>
      <c r="E86" s="3" t="s">
        <v>185</v>
      </c>
      <c r="F86" s="11">
        <v>10493.38</v>
      </c>
      <c r="G86" s="12">
        <f t="shared" si="1"/>
        <v>10493.38</v>
      </c>
      <c r="H86" s="28">
        <v>45861</v>
      </c>
      <c r="I86" s="3" t="s">
        <v>12</v>
      </c>
      <c r="J86" s="57" t="s">
        <v>186</v>
      </c>
    </row>
    <row r="87" spans="1:10" x14ac:dyDescent="0.25">
      <c r="A87" s="2">
        <v>283</v>
      </c>
      <c r="B87" s="3" t="s">
        <v>95</v>
      </c>
      <c r="C87" s="3" t="s">
        <v>187</v>
      </c>
      <c r="D87" s="5">
        <v>45859</v>
      </c>
      <c r="E87" s="3" t="s">
        <v>188</v>
      </c>
      <c r="F87" s="11">
        <v>871.5</v>
      </c>
      <c r="G87" s="12">
        <f t="shared" si="1"/>
        <v>871.5</v>
      </c>
      <c r="H87" s="28">
        <v>45866</v>
      </c>
      <c r="I87" s="3" t="s">
        <v>12</v>
      </c>
      <c r="J87" s="57" t="s">
        <v>189</v>
      </c>
    </row>
    <row r="88" spans="1:10" ht="30" x14ac:dyDescent="0.25">
      <c r="A88" s="2">
        <v>285</v>
      </c>
      <c r="B88" s="24" t="s">
        <v>9</v>
      </c>
      <c r="C88" s="3" t="s">
        <v>190</v>
      </c>
      <c r="D88" s="5">
        <v>45862</v>
      </c>
      <c r="E88" s="3" t="s">
        <v>191</v>
      </c>
      <c r="F88" s="11">
        <v>1021.5</v>
      </c>
      <c r="G88" s="12">
        <f t="shared" si="1"/>
        <v>1021.5</v>
      </c>
      <c r="H88" s="28">
        <v>45866</v>
      </c>
      <c r="I88" s="3" t="s">
        <v>12</v>
      </c>
      <c r="J88" s="57" t="s">
        <v>192</v>
      </c>
    </row>
    <row r="89" spans="1:10" x14ac:dyDescent="0.25">
      <c r="A89" s="2">
        <v>284</v>
      </c>
      <c r="B89" s="24" t="s">
        <v>9</v>
      </c>
      <c r="C89" s="3" t="s">
        <v>193</v>
      </c>
      <c r="D89" s="5">
        <v>45861</v>
      </c>
      <c r="E89" s="3" t="s">
        <v>194</v>
      </c>
      <c r="F89" s="11">
        <v>18</v>
      </c>
      <c r="G89" s="12">
        <f t="shared" si="1"/>
        <v>18</v>
      </c>
      <c r="H89" s="28">
        <v>45866</v>
      </c>
      <c r="I89" s="3" t="s">
        <v>12</v>
      </c>
      <c r="J89" s="57" t="s">
        <v>195</v>
      </c>
    </row>
    <row r="90" spans="1:10" x14ac:dyDescent="0.25">
      <c r="A90" s="2">
        <v>287</v>
      </c>
      <c r="B90" s="24" t="s">
        <v>9</v>
      </c>
      <c r="C90" s="3" t="s">
        <v>196</v>
      </c>
      <c r="D90" s="5">
        <v>45863</v>
      </c>
      <c r="E90" s="3" t="s">
        <v>197</v>
      </c>
      <c r="F90" s="11">
        <v>810</v>
      </c>
      <c r="G90" s="12">
        <f t="shared" si="1"/>
        <v>810</v>
      </c>
      <c r="H90" s="28">
        <v>45866</v>
      </c>
      <c r="I90" s="3" t="s">
        <v>12</v>
      </c>
      <c r="J90" s="57" t="s">
        <v>198</v>
      </c>
    </row>
    <row r="91" spans="1:10" x14ac:dyDescent="0.25">
      <c r="A91" s="2">
        <v>289</v>
      </c>
      <c r="B91" s="24" t="s">
        <v>9</v>
      </c>
      <c r="C91" s="3" t="s">
        <v>199</v>
      </c>
      <c r="D91" s="5">
        <v>45866</v>
      </c>
      <c r="E91" s="3" t="s">
        <v>200</v>
      </c>
      <c r="F91" s="11">
        <v>578.29</v>
      </c>
      <c r="G91" s="12">
        <f t="shared" si="1"/>
        <v>578.29</v>
      </c>
      <c r="H91" s="28">
        <v>45866</v>
      </c>
      <c r="I91" s="3" t="s">
        <v>12</v>
      </c>
      <c r="J91" s="57" t="s">
        <v>201</v>
      </c>
    </row>
    <row r="92" spans="1:10" x14ac:dyDescent="0.25">
      <c r="A92" s="2">
        <v>48</v>
      </c>
      <c r="B92" s="3" t="s">
        <v>95</v>
      </c>
      <c r="C92" s="3" t="s">
        <v>202</v>
      </c>
      <c r="D92" s="5">
        <v>45866</v>
      </c>
      <c r="E92" s="54">
        <v>817267</v>
      </c>
      <c r="F92" s="11">
        <v>100</v>
      </c>
      <c r="G92" s="12">
        <f t="shared" si="1"/>
        <v>0</v>
      </c>
      <c r="H92" s="4" t="s">
        <v>33</v>
      </c>
      <c r="I92" s="3" t="s">
        <v>12</v>
      </c>
      <c r="J92" s="57"/>
    </row>
    <row r="93" spans="1:10" x14ac:dyDescent="0.25">
      <c r="A93" s="2">
        <v>306</v>
      </c>
      <c r="B93" s="24" t="s">
        <v>9</v>
      </c>
      <c r="C93" s="3" t="s">
        <v>203</v>
      </c>
      <c r="D93" s="5">
        <v>45866</v>
      </c>
      <c r="E93" s="3" t="s">
        <v>204</v>
      </c>
      <c r="F93" s="11">
        <v>659.17</v>
      </c>
      <c r="G93" s="12">
        <f t="shared" si="1"/>
        <v>659.17</v>
      </c>
      <c r="H93" s="28">
        <v>45872</v>
      </c>
      <c r="I93" s="3" t="s">
        <v>12</v>
      </c>
      <c r="J93" s="57" t="s">
        <v>205</v>
      </c>
    </row>
    <row r="94" spans="1:10" x14ac:dyDescent="0.25">
      <c r="A94" s="2">
        <v>47</v>
      </c>
      <c r="B94" s="24" t="s">
        <v>9</v>
      </c>
      <c r="C94" s="3" t="s">
        <v>206</v>
      </c>
      <c r="D94" s="5">
        <v>45866</v>
      </c>
      <c r="E94" s="54">
        <v>819258</v>
      </c>
      <c r="F94" s="11">
        <v>3249.47</v>
      </c>
      <c r="G94" s="12">
        <f t="shared" si="1"/>
        <v>0</v>
      </c>
      <c r="H94" s="4" t="s">
        <v>33</v>
      </c>
      <c r="I94" s="3" t="s">
        <v>12</v>
      </c>
      <c r="J94" s="57"/>
    </row>
    <row r="95" spans="1:10" x14ac:dyDescent="0.25">
      <c r="A95" s="2">
        <v>288</v>
      </c>
      <c r="B95" s="24" t="s">
        <v>9</v>
      </c>
      <c r="C95" s="3" t="s">
        <v>207</v>
      </c>
      <c r="D95" s="5">
        <v>45864</v>
      </c>
      <c r="E95" s="3" t="s">
        <v>208</v>
      </c>
      <c r="F95" s="11">
        <v>135</v>
      </c>
      <c r="G95" s="12">
        <f t="shared" si="1"/>
        <v>135</v>
      </c>
      <c r="H95" s="28">
        <v>45866</v>
      </c>
      <c r="I95" s="3" t="s">
        <v>12</v>
      </c>
      <c r="J95" s="57" t="s">
        <v>209</v>
      </c>
    </row>
    <row r="96" spans="1:10" x14ac:dyDescent="0.25">
      <c r="A96" s="2">
        <v>307</v>
      </c>
      <c r="B96" s="3" t="s">
        <v>95</v>
      </c>
      <c r="C96" s="3" t="s">
        <v>210</v>
      </c>
      <c r="D96" s="5">
        <v>45867</v>
      </c>
      <c r="E96" s="3" t="s">
        <v>211</v>
      </c>
      <c r="F96" s="11">
        <v>5285.91</v>
      </c>
      <c r="G96" s="12">
        <f t="shared" si="1"/>
        <v>5285.91</v>
      </c>
      <c r="H96" s="29">
        <v>45872</v>
      </c>
      <c r="I96" s="3" t="s">
        <v>12</v>
      </c>
      <c r="J96" s="57" t="s">
        <v>212</v>
      </c>
    </row>
    <row r="97" spans="1:10" x14ac:dyDescent="0.25">
      <c r="A97" s="2">
        <v>310</v>
      </c>
      <c r="B97" s="24" t="s">
        <v>9</v>
      </c>
      <c r="C97" s="3" t="s">
        <v>213</v>
      </c>
      <c r="D97" s="5">
        <v>45868</v>
      </c>
      <c r="E97" s="3" t="s">
        <v>214</v>
      </c>
      <c r="F97" s="11">
        <v>1392.93</v>
      </c>
      <c r="G97" s="12">
        <f t="shared" si="1"/>
        <v>1392.93</v>
      </c>
      <c r="H97" s="28">
        <v>45872</v>
      </c>
      <c r="I97" s="3" t="s">
        <v>12</v>
      </c>
      <c r="J97" s="57" t="s">
        <v>215</v>
      </c>
    </row>
    <row r="98" spans="1:10" x14ac:dyDescent="0.25">
      <c r="A98" s="2">
        <v>317</v>
      </c>
      <c r="B98" s="3" t="s">
        <v>95</v>
      </c>
      <c r="C98" s="3" t="s">
        <v>216</v>
      </c>
      <c r="D98" s="5">
        <v>45869</v>
      </c>
      <c r="E98" s="3" t="s">
        <v>217</v>
      </c>
      <c r="F98" s="11">
        <v>2344.71</v>
      </c>
      <c r="G98" s="12">
        <f t="shared" si="1"/>
        <v>2344.71</v>
      </c>
      <c r="H98" s="28">
        <v>45873</v>
      </c>
      <c r="I98" s="3" t="s">
        <v>12</v>
      </c>
      <c r="J98" s="57" t="s">
        <v>218</v>
      </c>
    </row>
    <row r="99" spans="1:10" x14ac:dyDescent="0.25">
      <c r="A99" s="2">
        <v>322</v>
      </c>
      <c r="B99" s="24" t="s">
        <v>9</v>
      </c>
      <c r="C99" s="3" t="s">
        <v>219</v>
      </c>
      <c r="D99" s="5">
        <v>45872</v>
      </c>
      <c r="E99" s="3" t="s">
        <v>220</v>
      </c>
      <c r="F99" s="11">
        <v>868.58</v>
      </c>
      <c r="G99" s="12">
        <f t="shared" si="1"/>
        <v>868.58</v>
      </c>
      <c r="H99" s="28">
        <v>45874</v>
      </c>
      <c r="I99" s="3" t="s">
        <v>12</v>
      </c>
      <c r="J99" s="57" t="s">
        <v>221</v>
      </c>
    </row>
    <row r="100" spans="1:10" ht="30" x14ac:dyDescent="0.25">
      <c r="A100" s="2">
        <v>323</v>
      </c>
      <c r="B100" s="24" t="s">
        <v>9</v>
      </c>
      <c r="C100" s="3" t="s">
        <v>222</v>
      </c>
      <c r="D100" s="5">
        <v>45873</v>
      </c>
      <c r="E100" s="3" t="s">
        <v>223</v>
      </c>
      <c r="F100" s="11">
        <v>3515.75</v>
      </c>
      <c r="G100" s="12">
        <f t="shared" si="1"/>
        <v>3515.75</v>
      </c>
      <c r="H100" s="28">
        <v>45874</v>
      </c>
      <c r="I100" s="3" t="s">
        <v>12</v>
      </c>
      <c r="J100" s="57" t="s">
        <v>224</v>
      </c>
    </row>
    <row r="101" spans="1:10" x14ac:dyDescent="0.25">
      <c r="A101" s="2">
        <v>337</v>
      </c>
      <c r="B101" s="24" t="s">
        <v>9</v>
      </c>
      <c r="C101" s="3" t="s">
        <v>225</v>
      </c>
      <c r="D101" s="5">
        <v>45876</v>
      </c>
      <c r="E101" s="3" t="s">
        <v>226</v>
      </c>
      <c r="F101" s="11">
        <v>456.75</v>
      </c>
      <c r="G101" s="12">
        <f t="shared" si="1"/>
        <v>456.75</v>
      </c>
      <c r="H101" s="28">
        <v>45880</v>
      </c>
      <c r="I101" s="3" t="s">
        <v>12</v>
      </c>
      <c r="J101" s="57" t="s">
        <v>227</v>
      </c>
    </row>
    <row r="102" spans="1:10" x14ac:dyDescent="0.25">
      <c r="A102" s="2">
        <v>567</v>
      </c>
      <c r="B102" s="24" t="s">
        <v>9</v>
      </c>
      <c r="C102" s="3" t="s">
        <v>228</v>
      </c>
      <c r="D102" s="5">
        <v>45874</v>
      </c>
      <c r="E102" s="3" t="s">
        <v>229</v>
      </c>
      <c r="F102" s="11">
        <v>3.4</v>
      </c>
      <c r="G102" s="12">
        <f t="shared" si="1"/>
        <v>3.4</v>
      </c>
      <c r="H102" s="28">
        <v>45969</v>
      </c>
      <c r="I102" s="3" t="s">
        <v>12</v>
      </c>
      <c r="J102" s="57" t="s">
        <v>230</v>
      </c>
    </row>
    <row r="103" spans="1:10" x14ac:dyDescent="0.25">
      <c r="A103" s="2">
        <v>336</v>
      </c>
      <c r="B103" s="3" t="s">
        <v>95</v>
      </c>
      <c r="C103" s="3" t="s">
        <v>231</v>
      </c>
      <c r="D103" s="5">
        <v>45876</v>
      </c>
      <c r="E103" s="3" t="s">
        <v>232</v>
      </c>
      <c r="F103" s="11">
        <v>5703.71</v>
      </c>
      <c r="G103" s="12">
        <f t="shared" si="1"/>
        <v>5703.71</v>
      </c>
      <c r="H103" s="28">
        <v>45880</v>
      </c>
      <c r="I103" s="3" t="s">
        <v>12</v>
      </c>
      <c r="J103" s="57" t="s">
        <v>233</v>
      </c>
    </row>
    <row r="104" spans="1:10" x14ac:dyDescent="0.25">
      <c r="A104" s="2">
        <v>339</v>
      </c>
      <c r="B104" s="24" t="s">
        <v>9</v>
      </c>
      <c r="C104" s="3" t="s">
        <v>234</v>
      </c>
      <c r="D104" s="5">
        <v>45877</v>
      </c>
      <c r="E104" s="3" t="s">
        <v>235</v>
      </c>
      <c r="F104" s="11">
        <v>5386.31</v>
      </c>
      <c r="G104" s="12">
        <f t="shared" si="1"/>
        <v>5386.31</v>
      </c>
      <c r="H104" s="28">
        <v>45880</v>
      </c>
      <c r="I104" s="3" t="s">
        <v>12</v>
      </c>
      <c r="J104" s="57" t="s">
        <v>236</v>
      </c>
    </row>
    <row r="105" spans="1:10" x14ac:dyDescent="0.25">
      <c r="A105" s="2">
        <v>338</v>
      </c>
      <c r="B105" s="3" t="s">
        <v>95</v>
      </c>
      <c r="C105" s="3" t="s">
        <v>237</v>
      </c>
      <c r="D105" s="5">
        <v>45877</v>
      </c>
      <c r="E105" s="3" t="s">
        <v>238</v>
      </c>
      <c r="F105" s="11">
        <v>262.45999999999998</v>
      </c>
      <c r="G105" s="12">
        <f t="shared" si="1"/>
        <v>262.45999999999998</v>
      </c>
      <c r="H105" s="28">
        <v>45880</v>
      </c>
      <c r="I105" s="3" t="s">
        <v>12</v>
      </c>
      <c r="J105" s="57" t="s">
        <v>239</v>
      </c>
    </row>
    <row r="106" spans="1:10" x14ac:dyDescent="0.25">
      <c r="A106" s="2">
        <v>354</v>
      </c>
      <c r="B106" s="40" t="s">
        <v>95</v>
      </c>
      <c r="C106" s="3" t="s">
        <v>240</v>
      </c>
      <c r="D106" s="5">
        <v>45883</v>
      </c>
      <c r="E106" s="3" t="s">
        <v>241</v>
      </c>
      <c r="F106" s="11">
        <v>3385.46</v>
      </c>
      <c r="G106" s="12">
        <f t="shared" si="1"/>
        <v>3385.46</v>
      </c>
      <c r="H106" s="28">
        <v>45888</v>
      </c>
      <c r="I106" s="3" t="s">
        <v>12</v>
      </c>
      <c r="J106" s="57" t="s">
        <v>242</v>
      </c>
    </row>
    <row r="107" spans="1:10" x14ac:dyDescent="0.25">
      <c r="A107" s="2">
        <v>353</v>
      </c>
      <c r="B107" s="24" t="s">
        <v>9</v>
      </c>
      <c r="C107" s="3" t="s">
        <v>243</v>
      </c>
      <c r="D107" s="5">
        <v>45882</v>
      </c>
      <c r="E107" s="3" t="s">
        <v>244</v>
      </c>
      <c r="F107" s="11">
        <v>2868.85</v>
      </c>
      <c r="G107" s="12">
        <f t="shared" si="1"/>
        <v>2868.85</v>
      </c>
      <c r="H107" s="28">
        <v>45888</v>
      </c>
      <c r="I107" s="3" t="s">
        <v>12</v>
      </c>
      <c r="J107" s="57" t="s">
        <v>245</v>
      </c>
    </row>
    <row r="108" spans="1:10" x14ac:dyDescent="0.25">
      <c r="A108" s="2">
        <v>356</v>
      </c>
      <c r="B108" s="24" t="s">
        <v>9</v>
      </c>
      <c r="C108" s="3" t="s">
        <v>246</v>
      </c>
      <c r="D108" s="5">
        <v>45887</v>
      </c>
      <c r="E108" s="3" t="s">
        <v>247</v>
      </c>
      <c r="F108" s="11">
        <v>156</v>
      </c>
      <c r="G108" s="12">
        <f t="shared" si="1"/>
        <v>156</v>
      </c>
      <c r="H108" s="28">
        <v>45888</v>
      </c>
      <c r="I108" s="3" t="s">
        <v>12</v>
      </c>
      <c r="J108" s="57" t="s">
        <v>248</v>
      </c>
    </row>
    <row r="109" spans="1:10" x14ac:dyDescent="0.25">
      <c r="A109" s="2">
        <v>355</v>
      </c>
      <c r="B109" s="24" t="s">
        <v>9</v>
      </c>
      <c r="C109" s="3" t="s">
        <v>249</v>
      </c>
      <c r="D109" s="5">
        <v>45886</v>
      </c>
      <c r="E109" s="3" t="s">
        <v>250</v>
      </c>
      <c r="F109" s="11">
        <v>1054.2</v>
      </c>
      <c r="G109" s="12">
        <f t="shared" si="1"/>
        <v>1054.2</v>
      </c>
      <c r="H109" s="28">
        <v>45888</v>
      </c>
      <c r="I109" s="3" t="s">
        <v>12</v>
      </c>
      <c r="J109" s="57" t="s">
        <v>251</v>
      </c>
    </row>
    <row r="110" spans="1:10" x14ac:dyDescent="0.25">
      <c r="A110" s="2">
        <v>366</v>
      </c>
      <c r="B110" s="24" t="s">
        <v>9</v>
      </c>
      <c r="C110" s="3" t="s">
        <v>252</v>
      </c>
      <c r="D110" s="5">
        <v>45889</v>
      </c>
      <c r="E110" s="3" t="s">
        <v>253</v>
      </c>
      <c r="F110" s="11">
        <v>577.39</v>
      </c>
      <c r="G110" s="12">
        <f t="shared" si="1"/>
        <v>577.39</v>
      </c>
      <c r="H110" s="28">
        <v>45893</v>
      </c>
      <c r="I110" s="3" t="s">
        <v>12</v>
      </c>
      <c r="J110" s="57" t="s">
        <v>254</v>
      </c>
    </row>
    <row r="111" spans="1:10" x14ac:dyDescent="0.25">
      <c r="A111" s="2">
        <v>367</v>
      </c>
      <c r="B111" s="40" t="s">
        <v>95</v>
      </c>
      <c r="C111" s="3" t="s">
        <v>255</v>
      </c>
      <c r="D111" s="5">
        <v>45891</v>
      </c>
      <c r="E111" s="3" t="s">
        <v>256</v>
      </c>
      <c r="F111" s="11">
        <v>6574.39</v>
      </c>
      <c r="G111" s="12">
        <f t="shared" si="1"/>
        <v>6574.39</v>
      </c>
      <c r="H111" s="28">
        <v>45893</v>
      </c>
      <c r="I111" s="3" t="s">
        <v>12</v>
      </c>
      <c r="J111" s="57" t="s">
        <v>257</v>
      </c>
    </row>
    <row r="112" spans="1:10" x14ac:dyDescent="0.25">
      <c r="A112" s="2">
        <v>381</v>
      </c>
      <c r="B112" s="24" t="s">
        <v>9</v>
      </c>
      <c r="C112" s="3" t="s">
        <v>258</v>
      </c>
      <c r="D112" s="5">
        <v>45897</v>
      </c>
      <c r="E112" s="3" t="s">
        <v>259</v>
      </c>
      <c r="F112" s="11">
        <v>279.93</v>
      </c>
      <c r="G112" s="12">
        <f t="shared" si="1"/>
        <v>279.93</v>
      </c>
      <c r="H112" s="28">
        <v>45898</v>
      </c>
      <c r="I112" s="3" t="s">
        <v>12</v>
      </c>
      <c r="J112" s="57" t="s">
        <v>260</v>
      </c>
    </row>
    <row r="113" spans="1:10" x14ac:dyDescent="0.25">
      <c r="A113" s="2">
        <v>388</v>
      </c>
      <c r="B113" s="24" t="s">
        <v>9</v>
      </c>
      <c r="C113" s="3" t="s">
        <v>261</v>
      </c>
      <c r="D113" s="5">
        <v>45897</v>
      </c>
      <c r="E113" s="3" t="s">
        <v>262</v>
      </c>
      <c r="F113" s="11">
        <v>3680</v>
      </c>
      <c r="G113" s="12">
        <f t="shared" si="1"/>
        <v>3680</v>
      </c>
      <c r="H113" s="28">
        <v>45903</v>
      </c>
      <c r="I113" s="3" t="s">
        <v>12</v>
      </c>
      <c r="J113" s="57" t="s">
        <v>263</v>
      </c>
    </row>
    <row r="114" spans="1:10" x14ac:dyDescent="0.25">
      <c r="A114" s="2">
        <v>389</v>
      </c>
      <c r="B114" s="24" t="s">
        <v>9</v>
      </c>
      <c r="C114" s="3" t="s">
        <v>264</v>
      </c>
      <c r="D114" s="5">
        <v>45901</v>
      </c>
      <c r="E114" s="3" t="s">
        <v>265</v>
      </c>
      <c r="F114" s="11">
        <v>5752.92</v>
      </c>
      <c r="G114" s="12">
        <f t="shared" si="1"/>
        <v>5752.92</v>
      </c>
      <c r="H114" s="28">
        <v>45903</v>
      </c>
      <c r="I114" s="3" t="s">
        <v>12</v>
      </c>
      <c r="J114" s="57" t="s">
        <v>266</v>
      </c>
    </row>
    <row r="115" spans="1:10" x14ac:dyDescent="0.25">
      <c r="A115" s="2">
        <v>397</v>
      </c>
      <c r="B115" s="24" t="s">
        <v>9</v>
      </c>
      <c r="C115" s="3" t="s">
        <v>267</v>
      </c>
      <c r="D115" s="5">
        <v>45902</v>
      </c>
      <c r="E115" s="3" t="s">
        <v>268</v>
      </c>
      <c r="F115" s="11">
        <v>5357.75</v>
      </c>
      <c r="G115" s="12">
        <f t="shared" si="1"/>
        <v>5357.75</v>
      </c>
      <c r="H115" s="28">
        <v>45908</v>
      </c>
      <c r="I115" s="3" t="s">
        <v>12</v>
      </c>
      <c r="J115" s="57" t="s">
        <v>269</v>
      </c>
    </row>
    <row r="116" spans="1:10" x14ac:dyDescent="0.25">
      <c r="A116" s="2">
        <v>412</v>
      </c>
      <c r="B116" s="24" t="s">
        <v>9</v>
      </c>
      <c r="C116" s="3" t="s">
        <v>270</v>
      </c>
      <c r="D116" s="5">
        <v>45909</v>
      </c>
      <c r="E116" s="3" t="s">
        <v>271</v>
      </c>
      <c r="F116" s="11">
        <v>1035.1099999999999</v>
      </c>
      <c r="G116" s="12">
        <f t="shared" si="1"/>
        <v>1035.1099999999999</v>
      </c>
      <c r="H116" s="28">
        <v>45916</v>
      </c>
      <c r="I116" s="3" t="s">
        <v>12</v>
      </c>
      <c r="J116" s="57" t="s">
        <v>272</v>
      </c>
    </row>
    <row r="117" spans="1:10" x14ac:dyDescent="0.25">
      <c r="A117" s="2">
        <v>414</v>
      </c>
      <c r="B117" s="3" t="s">
        <v>95</v>
      </c>
      <c r="C117" s="3" t="s">
        <v>273</v>
      </c>
      <c r="D117" s="5">
        <v>45912</v>
      </c>
      <c r="E117" s="3" t="s">
        <v>274</v>
      </c>
      <c r="F117" s="11">
        <v>3186.88</v>
      </c>
      <c r="G117" s="12">
        <f t="shared" si="1"/>
        <v>3186.88</v>
      </c>
      <c r="H117" s="28">
        <v>45916</v>
      </c>
      <c r="I117" s="3" t="s">
        <v>12</v>
      </c>
      <c r="J117" s="57" t="s">
        <v>275</v>
      </c>
    </row>
    <row r="118" spans="1:10" x14ac:dyDescent="0.25">
      <c r="A118" s="2">
        <v>416</v>
      </c>
      <c r="B118" s="24" t="s">
        <v>9</v>
      </c>
      <c r="C118" s="3" t="s">
        <v>276</v>
      </c>
      <c r="D118" s="5">
        <v>45915</v>
      </c>
      <c r="E118" s="3" t="s">
        <v>277</v>
      </c>
      <c r="F118" s="11">
        <v>9200</v>
      </c>
      <c r="G118" s="12">
        <f t="shared" si="1"/>
        <v>9200</v>
      </c>
      <c r="H118" s="28">
        <v>45916</v>
      </c>
      <c r="I118" s="3" t="s">
        <v>12</v>
      </c>
      <c r="J118" s="57" t="s">
        <v>278</v>
      </c>
    </row>
    <row r="119" spans="1:10" x14ac:dyDescent="0.25">
      <c r="A119" s="2">
        <v>434</v>
      </c>
      <c r="B119" s="24" t="s">
        <v>9</v>
      </c>
      <c r="C119" s="3" t="s">
        <v>279</v>
      </c>
      <c r="D119" s="5">
        <v>45917</v>
      </c>
      <c r="E119" s="3" t="s">
        <v>280</v>
      </c>
      <c r="F119" s="11">
        <v>235.12</v>
      </c>
      <c r="G119" s="12">
        <f t="shared" si="1"/>
        <v>235.12</v>
      </c>
      <c r="H119" s="28">
        <v>45924</v>
      </c>
      <c r="I119" s="3" t="s">
        <v>12</v>
      </c>
      <c r="J119" s="57" t="s">
        <v>281</v>
      </c>
    </row>
    <row r="120" spans="1:10" x14ac:dyDescent="0.25">
      <c r="A120" s="2">
        <v>435</v>
      </c>
      <c r="B120" s="24" t="s">
        <v>9</v>
      </c>
      <c r="C120" s="3" t="s">
        <v>282</v>
      </c>
      <c r="D120" s="5">
        <v>45919</v>
      </c>
      <c r="E120" s="3" t="s">
        <v>283</v>
      </c>
      <c r="F120" s="11">
        <v>341.54</v>
      </c>
      <c r="G120" s="12">
        <f t="shared" si="1"/>
        <v>341.54</v>
      </c>
      <c r="H120" s="28">
        <v>45924</v>
      </c>
      <c r="I120" s="3" t="s">
        <v>12</v>
      </c>
      <c r="J120" s="57" t="s">
        <v>284</v>
      </c>
    </row>
    <row r="121" spans="1:10" x14ac:dyDescent="0.25">
      <c r="A121" s="2">
        <v>445</v>
      </c>
      <c r="B121" s="24" t="s">
        <v>9</v>
      </c>
      <c r="C121" s="3" t="s">
        <v>285</v>
      </c>
      <c r="D121" s="5">
        <v>45924</v>
      </c>
      <c r="E121" s="3" t="s">
        <v>286</v>
      </c>
      <c r="F121" s="11">
        <v>315.42</v>
      </c>
      <c r="G121" s="12">
        <f t="shared" si="1"/>
        <v>315.42</v>
      </c>
      <c r="H121" s="28">
        <v>45933</v>
      </c>
      <c r="I121" s="3" t="s">
        <v>12</v>
      </c>
      <c r="J121" s="57" t="s">
        <v>287</v>
      </c>
    </row>
    <row r="122" spans="1:10" ht="30" x14ac:dyDescent="0.25">
      <c r="A122" s="2">
        <v>446</v>
      </c>
      <c r="B122" s="24" t="s">
        <v>9</v>
      </c>
      <c r="C122" s="3" t="s">
        <v>288</v>
      </c>
      <c r="D122" s="5">
        <v>45925</v>
      </c>
      <c r="E122" s="3" t="s">
        <v>289</v>
      </c>
      <c r="F122" s="11">
        <v>1558.09</v>
      </c>
      <c r="G122" s="12">
        <f t="shared" si="1"/>
        <v>1558.09</v>
      </c>
      <c r="H122" s="28">
        <v>45933</v>
      </c>
      <c r="I122" s="3" t="s">
        <v>12</v>
      </c>
      <c r="J122" s="57" t="s">
        <v>290</v>
      </c>
    </row>
    <row r="123" spans="1:10" x14ac:dyDescent="0.25">
      <c r="A123" s="2">
        <v>448</v>
      </c>
      <c r="B123" s="24" t="s">
        <v>9</v>
      </c>
      <c r="C123" s="3" t="s">
        <v>291</v>
      </c>
      <c r="D123" s="5">
        <v>45928</v>
      </c>
      <c r="E123" s="3" t="s">
        <v>292</v>
      </c>
      <c r="F123" s="11">
        <v>237.07</v>
      </c>
      <c r="G123" s="12">
        <f t="shared" si="1"/>
        <v>237.07</v>
      </c>
      <c r="H123" s="28">
        <v>45933</v>
      </c>
      <c r="I123" s="3" t="s">
        <v>12</v>
      </c>
      <c r="J123" s="57" t="s">
        <v>293</v>
      </c>
    </row>
    <row r="124" spans="1:10" x14ac:dyDescent="0.25">
      <c r="A124" s="2">
        <v>456</v>
      </c>
      <c r="B124" s="24" t="s">
        <v>9</v>
      </c>
      <c r="C124" s="3" t="s">
        <v>294</v>
      </c>
      <c r="D124" s="5">
        <v>45933</v>
      </c>
      <c r="E124" s="3" t="s">
        <v>295</v>
      </c>
      <c r="F124" s="11">
        <v>13.43</v>
      </c>
      <c r="G124" s="12">
        <f t="shared" si="1"/>
        <v>13.43</v>
      </c>
      <c r="H124" s="28">
        <v>45937</v>
      </c>
      <c r="I124" s="3" t="s">
        <v>12</v>
      </c>
      <c r="J124" s="57" t="s">
        <v>296</v>
      </c>
    </row>
    <row r="125" spans="1:10" x14ac:dyDescent="0.25">
      <c r="A125" s="2">
        <v>46</v>
      </c>
      <c r="B125" s="24" t="s">
        <v>9</v>
      </c>
      <c r="C125" s="3" t="s">
        <v>297</v>
      </c>
      <c r="D125" s="5">
        <v>45932</v>
      </c>
      <c r="E125" s="54">
        <v>867506</v>
      </c>
      <c r="F125" s="11">
        <v>4275</v>
      </c>
      <c r="G125" s="12">
        <f t="shared" si="1"/>
        <v>0</v>
      </c>
      <c r="H125" s="4" t="s">
        <v>33</v>
      </c>
      <c r="I125" s="3" t="s">
        <v>12</v>
      </c>
      <c r="J125" s="57"/>
    </row>
    <row r="126" spans="1:10" x14ac:dyDescent="0.25">
      <c r="A126" s="2">
        <v>457</v>
      </c>
      <c r="B126" s="24" t="s">
        <v>9</v>
      </c>
      <c r="C126" s="3" t="s">
        <v>298</v>
      </c>
      <c r="D126" s="5">
        <v>45935</v>
      </c>
      <c r="E126" s="3" t="s">
        <v>299</v>
      </c>
      <c r="F126" s="11">
        <v>170.98</v>
      </c>
      <c r="G126" s="12">
        <f t="shared" si="1"/>
        <v>170.98</v>
      </c>
      <c r="H126" s="28">
        <v>45937</v>
      </c>
      <c r="I126" s="3" t="s">
        <v>12</v>
      </c>
      <c r="J126" s="57" t="s">
        <v>300</v>
      </c>
    </row>
    <row r="127" spans="1:10" x14ac:dyDescent="0.25">
      <c r="A127" s="2">
        <v>45</v>
      </c>
      <c r="B127" s="24" t="s">
        <v>9</v>
      </c>
      <c r="C127" s="3" t="s">
        <v>301</v>
      </c>
      <c r="D127" s="5">
        <v>45936</v>
      </c>
      <c r="E127" s="54">
        <v>868299</v>
      </c>
      <c r="F127" s="11">
        <v>8.17</v>
      </c>
      <c r="G127" s="12">
        <f t="shared" si="1"/>
        <v>0</v>
      </c>
      <c r="H127" s="4" t="s">
        <v>33</v>
      </c>
      <c r="I127" s="3" t="s">
        <v>12</v>
      </c>
      <c r="J127" s="57"/>
    </row>
    <row r="128" spans="1:10" x14ac:dyDescent="0.25">
      <c r="A128" s="2">
        <v>458</v>
      </c>
      <c r="B128" s="24" t="s">
        <v>9</v>
      </c>
      <c r="C128" s="3" t="s">
        <v>302</v>
      </c>
      <c r="D128" s="5">
        <v>45937</v>
      </c>
      <c r="E128" s="3" t="s">
        <v>303</v>
      </c>
      <c r="F128" s="11">
        <v>3872.91</v>
      </c>
      <c r="G128" s="12">
        <f t="shared" si="1"/>
        <v>3872.91</v>
      </c>
      <c r="H128" s="28">
        <v>45937</v>
      </c>
      <c r="I128" s="3" t="s">
        <v>12</v>
      </c>
      <c r="J128" s="57" t="s">
        <v>304</v>
      </c>
    </row>
    <row r="129" spans="1:10" x14ac:dyDescent="0.25">
      <c r="A129" s="2">
        <v>467</v>
      </c>
      <c r="B129" s="24" t="s">
        <v>9</v>
      </c>
      <c r="C129" s="3" t="s">
        <v>305</v>
      </c>
      <c r="D129" s="5">
        <v>45938</v>
      </c>
      <c r="E129" s="3" t="s">
        <v>306</v>
      </c>
      <c r="F129" s="11">
        <v>652.5</v>
      </c>
      <c r="G129" s="12">
        <f t="shared" ref="G129:G192" si="2">IF(J129&gt;0,F129,0)</f>
        <v>652.5</v>
      </c>
      <c r="H129" s="28">
        <v>45939</v>
      </c>
      <c r="I129" s="3" t="s">
        <v>12</v>
      </c>
      <c r="J129" s="57" t="s">
        <v>307</v>
      </c>
    </row>
    <row r="130" spans="1:10" x14ac:dyDescent="0.25">
      <c r="A130" s="2">
        <v>466</v>
      </c>
      <c r="B130" s="24" t="s">
        <v>9</v>
      </c>
      <c r="C130" s="3" t="s">
        <v>308</v>
      </c>
      <c r="D130" s="5">
        <v>45938</v>
      </c>
      <c r="E130" s="3" t="s">
        <v>309</v>
      </c>
      <c r="F130" s="11">
        <v>140.47</v>
      </c>
      <c r="G130" s="12">
        <f t="shared" si="2"/>
        <v>140.47</v>
      </c>
      <c r="H130" s="28">
        <v>45939</v>
      </c>
      <c r="I130" s="3" t="s">
        <v>12</v>
      </c>
      <c r="J130" s="57" t="s">
        <v>310</v>
      </c>
    </row>
    <row r="131" spans="1:10" x14ac:dyDescent="0.25">
      <c r="A131" s="2">
        <v>465</v>
      </c>
      <c r="B131" s="24" t="s">
        <v>9</v>
      </c>
      <c r="C131" s="3" t="s">
        <v>311</v>
      </c>
      <c r="D131" s="5">
        <v>45938</v>
      </c>
      <c r="E131" s="3" t="s">
        <v>312</v>
      </c>
      <c r="F131" s="11">
        <v>1710</v>
      </c>
      <c r="G131" s="12">
        <f t="shared" si="2"/>
        <v>1710</v>
      </c>
      <c r="H131" s="28">
        <v>45939</v>
      </c>
      <c r="I131" s="3" t="s">
        <v>12</v>
      </c>
      <c r="J131" s="57" t="s">
        <v>313</v>
      </c>
    </row>
    <row r="132" spans="1:10" x14ac:dyDescent="0.25">
      <c r="A132" s="2">
        <v>472</v>
      </c>
      <c r="B132" s="24" t="s">
        <v>9</v>
      </c>
      <c r="C132" s="3" t="s">
        <v>314</v>
      </c>
      <c r="D132" s="5">
        <v>45939</v>
      </c>
      <c r="E132" s="3" t="s">
        <v>315</v>
      </c>
      <c r="F132" s="11">
        <v>1615.64</v>
      </c>
      <c r="G132" s="12">
        <f t="shared" si="2"/>
        <v>1615.64</v>
      </c>
      <c r="H132" s="28">
        <v>45943</v>
      </c>
      <c r="I132" s="3" t="s">
        <v>12</v>
      </c>
      <c r="J132" s="57" t="s">
        <v>316</v>
      </c>
    </row>
    <row r="133" spans="1:10" x14ac:dyDescent="0.25">
      <c r="A133" s="2">
        <v>474</v>
      </c>
      <c r="B133" s="24" t="s">
        <v>9</v>
      </c>
      <c r="C133" s="3" t="s">
        <v>317</v>
      </c>
      <c r="D133" s="5">
        <v>45939</v>
      </c>
      <c r="E133" s="3" t="s">
        <v>318</v>
      </c>
      <c r="F133" s="11">
        <v>4891.34</v>
      </c>
      <c r="G133" s="12">
        <f t="shared" si="2"/>
        <v>4891.34</v>
      </c>
      <c r="H133" s="28">
        <v>45943</v>
      </c>
      <c r="I133" s="3" t="s">
        <v>12</v>
      </c>
      <c r="J133" s="57" t="s">
        <v>319</v>
      </c>
    </row>
    <row r="134" spans="1:10" x14ac:dyDescent="0.25">
      <c r="A134" s="2">
        <v>473</v>
      </c>
      <c r="B134" s="24" t="s">
        <v>9</v>
      </c>
      <c r="C134" s="3" t="s">
        <v>320</v>
      </c>
      <c r="D134" s="5">
        <v>45939</v>
      </c>
      <c r="E134" s="3" t="s">
        <v>321</v>
      </c>
      <c r="F134" s="11">
        <v>5.66</v>
      </c>
      <c r="G134" s="12">
        <f t="shared" si="2"/>
        <v>5.66</v>
      </c>
      <c r="H134" s="28">
        <v>45943</v>
      </c>
      <c r="I134" s="3" t="s">
        <v>12</v>
      </c>
      <c r="J134" s="57" t="s">
        <v>322</v>
      </c>
    </row>
    <row r="135" spans="1:10" x14ac:dyDescent="0.25">
      <c r="A135" s="2">
        <v>487</v>
      </c>
      <c r="B135" s="24" t="s">
        <v>9</v>
      </c>
      <c r="C135" s="24" t="s">
        <v>1375</v>
      </c>
      <c r="D135" s="7">
        <v>45947</v>
      </c>
      <c r="E135" s="24" t="s">
        <v>1376</v>
      </c>
      <c r="F135" s="12">
        <v>78.28</v>
      </c>
      <c r="G135" s="12">
        <f t="shared" si="2"/>
        <v>78.28</v>
      </c>
      <c r="H135" s="30">
        <v>45950</v>
      </c>
      <c r="I135" s="24"/>
      <c r="J135" s="56" t="s">
        <v>1728</v>
      </c>
    </row>
    <row r="136" spans="1:10" x14ac:dyDescent="0.25">
      <c r="A136" s="2">
        <v>489</v>
      </c>
      <c r="B136" s="24" t="s">
        <v>9</v>
      </c>
      <c r="C136" s="24" t="s">
        <v>1364</v>
      </c>
      <c r="D136" s="7">
        <v>45950</v>
      </c>
      <c r="E136" s="24" t="s">
        <v>1366</v>
      </c>
      <c r="F136" s="12">
        <v>705.64</v>
      </c>
      <c r="G136" s="12">
        <f t="shared" si="2"/>
        <v>705.64</v>
      </c>
      <c r="H136" s="30">
        <v>45950</v>
      </c>
      <c r="I136" s="24"/>
      <c r="J136" s="56" t="s">
        <v>1727</v>
      </c>
    </row>
    <row r="137" spans="1:10" x14ac:dyDescent="0.25">
      <c r="A137" s="2">
        <v>517</v>
      </c>
      <c r="B137" s="24" t="s">
        <v>9</v>
      </c>
      <c r="C137" s="24" t="s">
        <v>1352</v>
      </c>
      <c r="D137" s="7">
        <v>45953</v>
      </c>
      <c r="E137" s="24" t="s">
        <v>1354</v>
      </c>
      <c r="F137" s="12">
        <v>3932.17</v>
      </c>
      <c r="G137" s="12">
        <f t="shared" si="2"/>
        <v>3932.17</v>
      </c>
      <c r="H137" s="30">
        <v>45956</v>
      </c>
      <c r="I137" s="24"/>
      <c r="J137" s="56" t="s">
        <v>1726</v>
      </c>
    </row>
    <row r="138" spans="1:10" x14ac:dyDescent="0.25">
      <c r="A138" s="2">
        <v>539</v>
      </c>
      <c r="B138" s="24" t="s">
        <v>9</v>
      </c>
      <c r="C138" s="24" t="s">
        <v>1330</v>
      </c>
      <c r="D138" s="7">
        <v>45954</v>
      </c>
      <c r="E138" s="44" t="s">
        <v>1332</v>
      </c>
      <c r="F138" s="12">
        <v>2.75</v>
      </c>
      <c r="G138" s="12">
        <f t="shared" si="2"/>
        <v>2.75</v>
      </c>
      <c r="H138" s="30">
        <v>45960</v>
      </c>
      <c r="I138" s="24"/>
      <c r="J138" s="56" t="s">
        <v>1725</v>
      </c>
    </row>
    <row r="139" spans="1:10" x14ac:dyDescent="0.25">
      <c r="A139" s="2">
        <v>538</v>
      </c>
      <c r="B139" s="24" t="s">
        <v>9</v>
      </c>
      <c r="C139" s="24" t="s">
        <v>1333</v>
      </c>
      <c r="D139" s="7">
        <v>45954</v>
      </c>
      <c r="E139" s="44" t="s">
        <v>1335</v>
      </c>
      <c r="F139" s="12">
        <v>125</v>
      </c>
      <c r="G139" s="12">
        <f t="shared" si="2"/>
        <v>125</v>
      </c>
      <c r="H139" s="30">
        <v>45960</v>
      </c>
      <c r="I139" s="24"/>
      <c r="J139" s="56" t="s">
        <v>1724</v>
      </c>
    </row>
    <row r="140" spans="1:10" x14ac:dyDescent="0.25">
      <c r="A140" s="2">
        <v>541</v>
      </c>
      <c r="B140" s="24" t="s">
        <v>9</v>
      </c>
      <c r="C140" s="24" t="s">
        <v>1315</v>
      </c>
      <c r="D140" s="7">
        <v>45957</v>
      </c>
      <c r="E140" s="44" t="s">
        <v>1317</v>
      </c>
      <c r="F140" s="12">
        <v>1141.8800000000001</v>
      </c>
      <c r="G140" s="12">
        <f t="shared" si="2"/>
        <v>1141.8800000000001</v>
      </c>
      <c r="H140" s="30">
        <v>45960</v>
      </c>
      <c r="I140" s="24"/>
      <c r="J140" s="56" t="s">
        <v>1723</v>
      </c>
    </row>
    <row r="141" spans="1:10" x14ac:dyDescent="0.25">
      <c r="A141" s="2">
        <v>547</v>
      </c>
      <c r="B141" s="24" t="s">
        <v>9</v>
      </c>
      <c r="C141" s="24" t="s">
        <v>1308</v>
      </c>
      <c r="D141" s="7">
        <v>45958</v>
      </c>
      <c r="E141" s="44" t="s">
        <v>1310</v>
      </c>
      <c r="F141" s="12">
        <v>89.52</v>
      </c>
      <c r="G141" s="12">
        <f t="shared" si="2"/>
        <v>89.52</v>
      </c>
      <c r="H141" s="30">
        <v>45960</v>
      </c>
      <c r="I141" s="24"/>
      <c r="J141" s="56" t="s">
        <v>1722</v>
      </c>
    </row>
    <row r="142" spans="1:10" x14ac:dyDescent="0.25">
      <c r="A142" s="2">
        <v>537</v>
      </c>
      <c r="B142" s="24" t="s">
        <v>9</v>
      </c>
      <c r="C142" s="24" t="s">
        <v>1321</v>
      </c>
      <c r="D142" s="7">
        <v>45954</v>
      </c>
      <c r="E142" s="44" t="s">
        <v>1323</v>
      </c>
      <c r="F142" s="12">
        <v>4710.3100000000004</v>
      </c>
      <c r="G142" s="12">
        <f t="shared" si="2"/>
        <v>4710.3100000000004</v>
      </c>
      <c r="H142" s="30">
        <v>45960</v>
      </c>
      <c r="I142" s="24"/>
      <c r="J142" s="56" t="s">
        <v>1721</v>
      </c>
    </row>
    <row r="143" spans="1:10" x14ac:dyDescent="0.25">
      <c r="A143" s="2">
        <v>551</v>
      </c>
      <c r="B143" s="24" t="s">
        <v>9</v>
      </c>
      <c r="C143" s="24" t="s">
        <v>1324</v>
      </c>
      <c r="D143" s="7">
        <v>45954</v>
      </c>
      <c r="E143" s="24" t="s">
        <v>1326</v>
      </c>
      <c r="F143" s="12">
        <v>9.0399999999999991</v>
      </c>
      <c r="G143" s="12">
        <f t="shared" si="2"/>
        <v>9.0399999999999991</v>
      </c>
      <c r="H143" s="30">
        <v>45965</v>
      </c>
      <c r="I143" s="24"/>
      <c r="J143" s="56" t="s">
        <v>1720</v>
      </c>
    </row>
    <row r="144" spans="1:10" x14ac:dyDescent="0.25">
      <c r="A144" s="2">
        <v>531</v>
      </c>
      <c r="B144" s="24" t="s">
        <v>9</v>
      </c>
      <c r="C144" s="24" t="s">
        <v>1336</v>
      </c>
      <c r="D144" s="7">
        <v>45954</v>
      </c>
      <c r="E144" s="44" t="s">
        <v>1338</v>
      </c>
      <c r="F144" s="12">
        <v>126.06</v>
      </c>
      <c r="G144" s="12">
        <f t="shared" si="2"/>
        <v>126.06</v>
      </c>
      <c r="H144" s="30">
        <v>45960</v>
      </c>
      <c r="I144" s="24"/>
      <c r="J144" s="56" t="s">
        <v>1719</v>
      </c>
    </row>
    <row r="145" spans="1:10" x14ac:dyDescent="0.25">
      <c r="A145" s="2">
        <v>549</v>
      </c>
      <c r="B145" s="24" t="s">
        <v>9</v>
      </c>
      <c r="C145" s="24" t="s">
        <v>1303</v>
      </c>
      <c r="D145" s="7">
        <v>45959</v>
      </c>
      <c r="E145" s="24" t="s">
        <v>1305</v>
      </c>
      <c r="F145" s="12">
        <v>134.43</v>
      </c>
      <c r="G145" s="12">
        <f t="shared" si="2"/>
        <v>134.43</v>
      </c>
      <c r="H145" s="30">
        <v>45960</v>
      </c>
      <c r="I145" s="24"/>
      <c r="J145" s="56" t="s">
        <v>1718</v>
      </c>
    </row>
    <row r="146" spans="1:10" x14ac:dyDescent="0.25">
      <c r="A146" s="2">
        <v>584</v>
      </c>
      <c r="B146" s="24" t="s">
        <v>9</v>
      </c>
      <c r="C146" s="24" t="s">
        <v>1291</v>
      </c>
      <c r="D146" s="7">
        <v>45961</v>
      </c>
      <c r="E146" s="24" t="s">
        <v>1293</v>
      </c>
      <c r="F146" s="12">
        <v>198</v>
      </c>
      <c r="G146" s="12">
        <f t="shared" si="2"/>
        <v>198</v>
      </c>
      <c r="H146" s="30">
        <v>45974</v>
      </c>
      <c r="I146" s="24"/>
      <c r="J146" s="56" t="s">
        <v>1717</v>
      </c>
    </row>
    <row r="147" spans="1:10" x14ac:dyDescent="0.25">
      <c r="A147" s="2">
        <v>558</v>
      </c>
      <c r="B147" s="24" t="s">
        <v>9</v>
      </c>
      <c r="C147" s="24" t="s">
        <v>1288</v>
      </c>
      <c r="D147" s="7">
        <v>45964</v>
      </c>
      <c r="E147" s="24" t="s">
        <v>1290</v>
      </c>
      <c r="F147" s="12">
        <v>703.4</v>
      </c>
      <c r="G147" s="12">
        <f t="shared" si="2"/>
        <v>703.4</v>
      </c>
      <c r="H147" s="30">
        <v>45965</v>
      </c>
      <c r="I147" s="24"/>
      <c r="J147" s="56" t="s">
        <v>1716</v>
      </c>
    </row>
    <row r="148" spans="1:10" x14ac:dyDescent="0.25">
      <c r="A148" s="2">
        <v>557</v>
      </c>
      <c r="B148" s="24" t="s">
        <v>9</v>
      </c>
      <c r="C148" s="24" t="s">
        <v>1283</v>
      </c>
      <c r="D148" s="7">
        <v>45964</v>
      </c>
      <c r="E148" s="24" t="s">
        <v>1285</v>
      </c>
      <c r="F148" s="12">
        <v>4149.83</v>
      </c>
      <c r="G148" s="12">
        <f t="shared" si="2"/>
        <v>4149.83</v>
      </c>
      <c r="H148" s="30">
        <v>45965</v>
      </c>
      <c r="I148" s="24"/>
      <c r="J148" s="56" t="s">
        <v>1715</v>
      </c>
    </row>
    <row r="149" spans="1:10" x14ac:dyDescent="0.25">
      <c r="A149" s="2">
        <v>559</v>
      </c>
      <c r="B149" s="24" t="s">
        <v>9</v>
      </c>
      <c r="C149" s="24" t="s">
        <v>1278</v>
      </c>
      <c r="D149" s="7">
        <v>45965</v>
      </c>
      <c r="E149" s="24" t="s">
        <v>1279</v>
      </c>
      <c r="F149" s="12">
        <v>510</v>
      </c>
      <c r="G149" s="12">
        <f t="shared" si="2"/>
        <v>510</v>
      </c>
      <c r="H149" s="30">
        <v>45965</v>
      </c>
      <c r="I149" s="24"/>
      <c r="J149" s="56" t="s">
        <v>1714</v>
      </c>
    </row>
    <row r="150" spans="1:10" x14ac:dyDescent="0.25">
      <c r="A150" s="2">
        <v>571</v>
      </c>
      <c r="B150" s="24" t="s">
        <v>9</v>
      </c>
      <c r="C150" s="24" t="s">
        <v>1271</v>
      </c>
      <c r="D150" s="7">
        <v>45966</v>
      </c>
      <c r="E150" s="24" t="s">
        <v>1273</v>
      </c>
      <c r="F150" s="12">
        <v>2900</v>
      </c>
      <c r="G150" s="12">
        <f t="shared" si="2"/>
        <v>2900</v>
      </c>
      <c r="H150" s="30">
        <v>45972</v>
      </c>
      <c r="I150" s="24"/>
      <c r="J150" s="56" t="s">
        <v>1713</v>
      </c>
    </row>
    <row r="151" spans="1:10" x14ac:dyDescent="0.25">
      <c r="A151" s="2">
        <v>572</v>
      </c>
      <c r="B151" s="24" t="s">
        <v>9</v>
      </c>
      <c r="C151" s="24" t="s">
        <v>1252</v>
      </c>
      <c r="D151" s="7">
        <v>45967</v>
      </c>
      <c r="E151" s="24" t="s">
        <v>1254</v>
      </c>
      <c r="F151" s="12">
        <v>2118.39</v>
      </c>
      <c r="G151" s="12">
        <f t="shared" si="2"/>
        <v>2118.39</v>
      </c>
      <c r="H151" s="30">
        <v>45972</v>
      </c>
      <c r="I151" s="24"/>
      <c r="J151" s="56" t="s">
        <v>1712</v>
      </c>
    </row>
    <row r="152" spans="1:10" x14ac:dyDescent="0.25">
      <c r="A152" s="2">
        <v>599</v>
      </c>
      <c r="B152" s="24" t="s">
        <v>9</v>
      </c>
      <c r="C152" s="24" t="s">
        <v>1236</v>
      </c>
      <c r="D152" s="7">
        <v>45971</v>
      </c>
      <c r="E152" s="24" t="s">
        <v>1238</v>
      </c>
      <c r="F152" s="12">
        <v>106.4</v>
      </c>
      <c r="G152" s="12">
        <f t="shared" si="2"/>
        <v>106.4</v>
      </c>
      <c r="H152" s="30">
        <v>45974</v>
      </c>
      <c r="I152" s="24"/>
      <c r="J152" s="56" t="s">
        <v>1711</v>
      </c>
    </row>
    <row r="153" spans="1:10" x14ac:dyDescent="0.25">
      <c r="A153" s="2">
        <v>607</v>
      </c>
      <c r="B153" s="24" t="s">
        <v>9</v>
      </c>
      <c r="C153" s="24" t="s">
        <v>1225</v>
      </c>
      <c r="D153" s="7">
        <v>45972</v>
      </c>
      <c r="E153" s="24" t="s">
        <v>1227</v>
      </c>
      <c r="F153" s="12">
        <v>408</v>
      </c>
      <c r="G153" s="12">
        <f t="shared" si="2"/>
        <v>408</v>
      </c>
      <c r="H153" s="30">
        <v>45979</v>
      </c>
      <c r="I153" s="24"/>
      <c r="J153" s="56" t="s">
        <v>1710</v>
      </c>
    </row>
    <row r="154" spans="1:10" x14ac:dyDescent="0.25">
      <c r="A154" s="2">
        <v>608</v>
      </c>
      <c r="B154" s="24" t="s">
        <v>9</v>
      </c>
      <c r="C154" s="24" t="s">
        <v>1214</v>
      </c>
      <c r="D154" s="7">
        <v>45973</v>
      </c>
      <c r="E154" s="24" t="s">
        <v>1216</v>
      </c>
      <c r="F154" s="12">
        <v>48</v>
      </c>
      <c r="G154" s="12">
        <f t="shared" si="2"/>
        <v>48</v>
      </c>
      <c r="H154" s="30">
        <v>45979</v>
      </c>
      <c r="I154" s="24"/>
      <c r="J154" s="56" t="s">
        <v>1709</v>
      </c>
    </row>
    <row r="155" spans="1:10" x14ac:dyDescent="0.25">
      <c r="A155" s="2">
        <v>609</v>
      </c>
      <c r="B155" s="24" t="s">
        <v>9</v>
      </c>
      <c r="C155" s="24" t="s">
        <v>1208</v>
      </c>
      <c r="D155" s="7">
        <v>45974</v>
      </c>
      <c r="E155" s="24" t="s">
        <v>1210</v>
      </c>
      <c r="F155" s="12">
        <v>208.69</v>
      </c>
      <c r="G155" s="12">
        <f t="shared" si="2"/>
        <v>208.69</v>
      </c>
      <c r="H155" s="30">
        <v>45979</v>
      </c>
      <c r="I155" s="24"/>
      <c r="J155" s="56" t="s">
        <v>1708</v>
      </c>
    </row>
    <row r="156" spans="1:10" x14ac:dyDescent="0.25">
      <c r="A156" s="2">
        <v>616</v>
      </c>
      <c r="B156" s="24" t="s">
        <v>9</v>
      </c>
      <c r="C156" s="24" t="s">
        <v>1203</v>
      </c>
      <c r="D156" s="7">
        <v>45975</v>
      </c>
      <c r="E156" s="24" t="s">
        <v>1205</v>
      </c>
      <c r="F156" s="12">
        <v>1812.91</v>
      </c>
      <c r="G156" s="12">
        <f t="shared" si="2"/>
        <v>1812.91</v>
      </c>
      <c r="H156" s="30">
        <v>45981</v>
      </c>
      <c r="I156" s="24"/>
      <c r="J156" s="56" t="s">
        <v>1707</v>
      </c>
    </row>
    <row r="157" spans="1:10" x14ac:dyDescent="0.25">
      <c r="A157" s="2">
        <v>606</v>
      </c>
      <c r="B157" s="24" t="s">
        <v>9</v>
      </c>
      <c r="C157" s="24" t="s">
        <v>1228</v>
      </c>
      <c r="D157" s="7">
        <v>45972</v>
      </c>
      <c r="E157" s="24" t="s">
        <v>1230</v>
      </c>
      <c r="F157" s="12">
        <v>19.5</v>
      </c>
      <c r="G157" s="12">
        <f t="shared" si="2"/>
        <v>19.5</v>
      </c>
      <c r="H157" s="30">
        <v>45979</v>
      </c>
      <c r="I157" s="24"/>
      <c r="J157" s="56" t="s">
        <v>1706</v>
      </c>
    </row>
    <row r="158" spans="1:10" x14ac:dyDescent="0.25">
      <c r="A158" s="2">
        <v>619</v>
      </c>
      <c r="B158" s="24" t="s">
        <v>9</v>
      </c>
      <c r="C158" s="24" t="s">
        <v>1546</v>
      </c>
      <c r="D158" s="7">
        <v>45978</v>
      </c>
      <c r="E158" s="24" t="s">
        <v>1547</v>
      </c>
      <c r="F158" s="12">
        <v>72.11</v>
      </c>
      <c r="G158" s="12">
        <f t="shared" si="2"/>
        <v>72.11</v>
      </c>
      <c r="H158" s="30">
        <v>45981</v>
      </c>
      <c r="I158" s="24"/>
      <c r="J158" s="56" t="s">
        <v>1705</v>
      </c>
    </row>
    <row r="159" spans="1:10" x14ac:dyDescent="0.25">
      <c r="A159" s="2">
        <v>617</v>
      </c>
      <c r="B159" s="24" t="s">
        <v>95</v>
      </c>
      <c r="C159" s="24" t="s">
        <v>1540</v>
      </c>
      <c r="D159" s="7">
        <v>45978</v>
      </c>
      <c r="E159" s="24" t="s">
        <v>1541</v>
      </c>
      <c r="F159" s="12">
        <v>6639.09</v>
      </c>
      <c r="G159" s="12">
        <f t="shared" si="2"/>
        <v>6639.09</v>
      </c>
      <c r="H159" s="30">
        <v>45981</v>
      </c>
      <c r="I159" s="24"/>
      <c r="J159" s="56" t="s">
        <v>1704</v>
      </c>
    </row>
    <row r="160" spans="1:10" x14ac:dyDescent="0.25">
      <c r="A160" s="2">
        <v>630</v>
      </c>
      <c r="B160" s="24" t="s">
        <v>9</v>
      </c>
      <c r="C160" s="24" t="s">
        <v>1536</v>
      </c>
      <c r="D160" s="7">
        <v>45978</v>
      </c>
      <c r="E160" s="24" t="s">
        <v>1538</v>
      </c>
      <c r="F160" s="12">
        <v>312.89999999999998</v>
      </c>
      <c r="G160" s="12">
        <f t="shared" si="2"/>
        <v>312.89999999999998</v>
      </c>
      <c r="H160" s="30">
        <v>45984</v>
      </c>
      <c r="I160" s="24"/>
      <c r="J160" s="56" t="s">
        <v>1703</v>
      </c>
    </row>
    <row r="161" spans="1:10" x14ac:dyDescent="0.25">
      <c r="A161" s="2">
        <v>623</v>
      </c>
      <c r="B161" s="24" t="s">
        <v>9</v>
      </c>
      <c r="C161" s="24" t="s">
        <v>1531</v>
      </c>
      <c r="D161" s="7">
        <v>45979</v>
      </c>
      <c r="E161" s="24" t="s">
        <v>1532</v>
      </c>
      <c r="F161" s="12">
        <v>134.84</v>
      </c>
      <c r="G161" s="12">
        <f t="shared" si="2"/>
        <v>134.84</v>
      </c>
      <c r="H161" s="30">
        <v>45981</v>
      </c>
      <c r="I161" s="24"/>
      <c r="J161" s="56" t="s">
        <v>1702</v>
      </c>
    </row>
    <row r="162" spans="1:10" x14ac:dyDescent="0.25">
      <c r="A162" s="2">
        <v>631</v>
      </c>
      <c r="B162" s="24" t="s">
        <v>9</v>
      </c>
      <c r="C162" s="24" t="s">
        <v>1527</v>
      </c>
      <c r="D162" s="7">
        <v>45981</v>
      </c>
      <c r="E162" s="24" t="s">
        <v>1529</v>
      </c>
      <c r="F162" s="12">
        <v>22.5</v>
      </c>
      <c r="G162" s="12">
        <f t="shared" si="2"/>
        <v>22.5</v>
      </c>
      <c r="H162" s="30">
        <v>45984</v>
      </c>
      <c r="I162" s="24"/>
      <c r="J162" s="56" t="s">
        <v>1701</v>
      </c>
    </row>
    <row r="163" spans="1:10" x14ac:dyDescent="0.25">
      <c r="A163" s="2">
        <v>664</v>
      </c>
      <c r="B163" s="24" t="s">
        <v>9</v>
      </c>
      <c r="C163" s="24" t="s">
        <v>1525</v>
      </c>
      <c r="D163" s="7">
        <v>45981</v>
      </c>
      <c r="E163" s="24" t="s">
        <v>1526</v>
      </c>
      <c r="F163" s="12">
        <v>3065.12</v>
      </c>
      <c r="G163" s="12">
        <f t="shared" si="2"/>
        <v>3065.12</v>
      </c>
      <c r="H163" s="30">
        <v>46001</v>
      </c>
      <c r="I163" s="24"/>
      <c r="J163" s="56" t="s">
        <v>1700</v>
      </c>
    </row>
    <row r="164" spans="1:10" x14ac:dyDescent="0.25">
      <c r="A164" s="2">
        <v>656</v>
      </c>
      <c r="B164" s="24" t="s">
        <v>9</v>
      </c>
      <c r="C164" s="24" t="s">
        <v>1520</v>
      </c>
      <c r="D164" s="7">
        <v>45984</v>
      </c>
      <c r="E164" s="24" t="s">
        <v>1522</v>
      </c>
      <c r="F164" s="12">
        <v>2964.75</v>
      </c>
      <c r="G164" s="12">
        <f t="shared" si="2"/>
        <v>2964.75</v>
      </c>
      <c r="H164" s="30">
        <v>45999</v>
      </c>
      <c r="I164" s="24"/>
      <c r="J164" s="56" t="s">
        <v>1699</v>
      </c>
    </row>
    <row r="165" spans="1:10" x14ac:dyDescent="0.25">
      <c r="A165" s="2">
        <v>642</v>
      </c>
      <c r="B165" s="24" t="s">
        <v>9</v>
      </c>
      <c r="C165" s="24" t="s">
        <v>1501</v>
      </c>
      <c r="D165" s="7">
        <v>45986</v>
      </c>
      <c r="E165" s="24" t="s">
        <v>1503</v>
      </c>
      <c r="F165" s="12">
        <v>220</v>
      </c>
      <c r="G165" s="12">
        <f t="shared" si="2"/>
        <v>220</v>
      </c>
      <c r="H165" s="30">
        <v>45987</v>
      </c>
      <c r="I165" s="24"/>
      <c r="J165" s="56" t="s">
        <v>1698</v>
      </c>
    </row>
    <row r="166" spans="1:10" x14ac:dyDescent="0.25">
      <c r="A166" s="2">
        <v>641</v>
      </c>
      <c r="B166" s="24" t="s">
        <v>95</v>
      </c>
      <c r="C166" s="24" t="s">
        <v>1508</v>
      </c>
      <c r="D166" s="7">
        <v>45986</v>
      </c>
      <c r="E166" s="24" t="s">
        <v>1509</v>
      </c>
      <c r="F166" s="12">
        <v>1787.07</v>
      </c>
      <c r="G166" s="12">
        <f t="shared" si="2"/>
        <v>1787.07</v>
      </c>
      <c r="H166" s="30">
        <v>45987</v>
      </c>
      <c r="I166" s="24"/>
      <c r="J166" s="56" t="s">
        <v>1697</v>
      </c>
    </row>
    <row r="167" spans="1:10" x14ac:dyDescent="0.25">
      <c r="A167" s="2">
        <v>640</v>
      </c>
      <c r="B167" s="24" t="s">
        <v>9</v>
      </c>
      <c r="C167" s="24" t="s">
        <v>1517</v>
      </c>
      <c r="D167" s="7">
        <v>45985</v>
      </c>
      <c r="E167" s="24" t="s">
        <v>1519</v>
      </c>
      <c r="F167" s="12">
        <v>8511.2900000000009</v>
      </c>
      <c r="G167" s="12">
        <f t="shared" si="2"/>
        <v>8511.2900000000009</v>
      </c>
      <c r="H167" s="30">
        <v>45987</v>
      </c>
      <c r="I167" s="24"/>
      <c r="J167" s="56" t="s">
        <v>1696</v>
      </c>
    </row>
    <row r="168" spans="1:10" x14ac:dyDescent="0.25">
      <c r="A168" s="2">
        <v>674</v>
      </c>
      <c r="B168" s="24" t="s">
        <v>9</v>
      </c>
      <c r="C168" s="24" t="s">
        <v>1488</v>
      </c>
      <c r="D168" s="7">
        <v>45994</v>
      </c>
      <c r="E168" s="24" t="s">
        <v>1490</v>
      </c>
      <c r="F168" s="12">
        <v>254.52</v>
      </c>
      <c r="G168" s="12">
        <f t="shared" si="2"/>
        <v>254.52</v>
      </c>
      <c r="H168" s="30">
        <v>46006</v>
      </c>
      <c r="I168" s="24"/>
      <c r="J168" s="56" t="s">
        <v>1695</v>
      </c>
    </row>
    <row r="169" spans="1:10" x14ac:dyDescent="0.25">
      <c r="A169" s="2">
        <v>675</v>
      </c>
      <c r="B169" s="24" t="s">
        <v>9</v>
      </c>
      <c r="C169" s="24" t="s">
        <v>1479</v>
      </c>
      <c r="D169" s="7">
        <v>46000</v>
      </c>
      <c r="E169" s="24" t="s">
        <v>1481</v>
      </c>
      <c r="F169" s="12">
        <v>36</v>
      </c>
      <c r="G169" s="12">
        <f t="shared" si="2"/>
        <v>36</v>
      </c>
      <c r="H169" s="30">
        <v>46006</v>
      </c>
      <c r="I169" s="24"/>
      <c r="J169" s="56" t="s">
        <v>1694</v>
      </c>
    </row>
    <row r="170" spans="1:10" x14ac:dyDescent="0.25">
      <c r="A170" s="2">
        <v>676</v>
      </c>
      <c r="B170" s="24" t="s">
        <v>9</v>
      </c>
      <c r="C170" s="24" t="s">
        <v>1472</v>
      </c>
      <c r="D170" s="7">
        <v>46001</v>
      </c>
      <c r="E170" s="24" t="s">
        <v>1473</v>
      </c>
      <c r="F170" s="12">
        <v>424.69</v>
      </c>
      <c r="G170" s="12">
        <f t="shared" si="2"/>
        <v>424.69</v>
      </c>
      <c r="H170" s="30">
        <v>46006</v>
      </c>
      <c r="I170" s="24"/>
      <c r="J170" s="56" t="s">
        <v>1693</v>
      </c>
    </row>
    <row r="171" spans="1:10" x14ac:dyDescent="0.25">
      <c r="A171" s="2">
        <v>681</v>
      </c>
      <c r="B171" s="24" t="s">
        <v>9</v>
      </c>
      <c r="C171" s="24" t="s">
        <v>1456</v>
      </c>
      <c r="D171" s="7">
        <v>46003</v>
      </c>
      <c r="E171" s="24" t="s">
        <v>1458</v>
      </c>
      <c r="F171" s="12">
        <v>20</v>
      </c>
      <c r="G171" s="12">
        <f t="shared" si="2"/>
        <v>20</v>
      </c>
      <c r="H171" s="30">
        <v>46008</v>
      </c>
      <c r="I171" s="24"/>
      <c r="J171" s="56" t="s">
        <v>1692</v>
      </c>
    </row>
    <row r="172" spans="1:10" x14ac:dyDescent="0.25">
      <c r="A172" s="2">
        <v>688</v>
      </c>
      <c r="B172" s="24" t="s">
        <v>9</v>
      </c>
      <c r="C172" s="24" t="s">
        <v>1441</v>
      </c>
      <c r="D172" s="7">
        <v>46009</v>
      </c>
      <c r="E172" s="24" t="s">
        <v>1442</v>
      </c>
      <c r="F172" s="12">
        <v>276</v>
      </c>
      <c r="G172" s="12">
        <f t="shared" si="2"/>
        <v>276</v>
      </c>
      <c r="H172" s="30">
        <v>46013</v>
      </c>
      <c r="I172" s="24"/>
      <c r="J172" s="56" t="s">
        <v>1691</v>
      </c>
    </row>
    <row r="173" spans="1:10" x14ac:dyDescent="0.25">
      <c r="A173" s="2">
        <v>686</v>
      </c>
      <c r="B173" s="24" t="s">
        <v>9</v>
      </c>
      <c r="C173" s="24" t="s">
        <v>1438</v>
      </c>
      <c r="D173" s="7">
        <v>46010</v>
      </c>
      <c r="E173" s="24" t="s">
        <v>1440</v>
      </c>
      <c r="F173" s="12">
        <v>1547</v>
      </c>
      <c r="G173" s="12">
        <f t="shared" si="2"/>
        <v>1547</v>
      </c>
      <c r="H173" s="30">
        <v>46012</v>
      </c>
      <c r="I173" s="24"/>
      <c r="J173" s="56" t="s">
        <v>1690</v>
      </c>
    </row>
    <row r="174" spans="1:10" x14ac:dyDescent="0.25">
      <c r="A174" s="2">
        <v>691</v>
      </c>
      <c r="B174" s="24" t="s">
        <v>9</v>
      </c>
      <c r="C174" s="24" t="s">
        <v>1435</v>
      </c>
      <c r="D174" s="7">
        <v>46010</v>
      </c>
      <c r="E174" s="24" t="s">
        <v>1437</v>
      </c>
      <c r="F174" s="12">
        <v>8226.7800000000007</v>
      </c>
      <c r="G174" s="12">
        <f t="shared" si="2"/>
        <v>8226.7800000000007</v>
      </c>
      <c r="H174" s="30">
        <v>46015</v>
      </c>
      <c r="I174" s="24"/>
      <c r="J174" s="56" t="s">
        <v>1689</v>
      </c>
    </row>
    <row r="175" spans="1:10" x14ac:dyDescent="0.25">
      <c r="A175" s="2">
        <v>693</v>
      </c>
      <c r="B175" s="24" t="s">
        <v>9</v>
      </c>
      <c r="C175" s="24" t="s">
        <v>1428</v>
      </c>
      <c r="D175" s="7">
        <v>46014</v>
      </c>
      <c r="E175" s="24" t="s">
        <v>1430</v>
      </c>
      <c r="F175" s="12">
        <v>561.66</v>
      </c>
      <c r="G175" s="12">
        <f t="shared" si="2"/>
        <v>561.66</v>
      </c>
      <c r="H175" s="30">
        <v>46015</v>
      </c>
      <c r="I175" s="24"/>
      <c r="J175" s="56" t="s">
        <v>1688</v>
      </c>
    </row>
    <row r="176" spans="1:10" x14ac:dyDescent="0.25">
      <c r="A176" s="2">
        <v>699</v>
      </c>
      <c r="B176" s="24" t="s">
        <v>9</v>
      </c>
      <c r="C176" s="24" t="s">
        <v>1420</v>
      </c>
      <c r="D176" s="6">
        <v>46016</v>
      </c>
      <c r="E176" s="24" t="s">
        <v>1421</v>
      </c>
      <c r="F176" s="12">
        <v>637.5</v>
      </c>
      <c r="G176" s="12">
        <f t="shared" si="2"/>
        <v>637.5</v>
      </c>
      <c r="H176" s="30">
        <v>46017</v>
      </c>
      <c r="I176" s="24"/>
      <c r="J176" s="56" t="s">
        <v>1687</v>
      </c>
    </row>
    <row r="177" spans="1:10" x14ac:dyDescent="0.25">
      <c r="A177" s="2">
        <v>710</v>
      </c>
      <c r="B177" s="24" t="s">
        <v>9</v>
      </c>
      <c r="C177" s="24" t="s">
        <v>1410</v>
      </c>
      <c r="D177" s="7">
        <v>46027</v>
      </c>
      <c r="E177" s="24" t="s">
        <v>1411</v>
      </c>
      <c r="F177" s="12">
        <v>869.55</v>
      </c>
      <c r="G177" s="12">
        <f t="shared" si="2"/>
        <v>869.55</v>
      </c>
      <c r="H177" s="30">
        <v>46028</v>
      </c>
      <c r="I177" s="24"/>
      <c r="J177" s="56" t="s">
        <v>1686</v>
      </c>
    </row>
    <row r="178" spans="1:10" x14ac:dyDescent="0.25">
      <c r="A178" s="2">
        <v>77</v>
      </c>
      <c r="B178" s="24" t="s">
        <v>9</v>
      </c>
      <c r="C178" s="3" t="s">
        <v>763</v>
      </c>
      <c r="D178" s="26">
        <v>45770</v>
      </c>
      <c r="E178" s="3" t="s">
        <v>764</v>
      </c>
      <c r="F178" s="11">
        <v>7800</v>
      </c>
      <c r="G178" s="12">
        <f t="shared" si="2"/>
        <v>7800</v>
      </c>
      <c r="H178" s="28">
        <v>45771</v>
      </c>
      <c r="I178" s="3" t="s">
        <v>12</v>
      </c>
      <c r="J178" s="57" t="s">
        <v>765</v>
      </c>
    </row>
    <row r="179" spans="1:10" x14ac:dyDescent="0.25">
      <c r="A179" s="2">
        <v>82</v>
      </c>
      <c r="B179" s="24" t="s">
        <v>9</v>
      </c>
      <c r="C179" s="3" t="s">
        <v>754</v>
      </c>
      <c r="D179" s="7"/>
      <c r="E179" s="3" t="s">
        <v>759</v>
      </c>
      <c r="F179" s="11">
        <v>320</v>
      </c>
      <c r="G179" s="12">
        <f t="shared" si="2"/>
        <v>320</v>
      </c>
      <c r="H179" s="28">
        <v>45783</v>
      </c>
      <c r="I179" s="3" t="s">
        <v>12</v>
      </c>
      <c r="J179" s="57" t="s">
        <v>760</v>
      </c>
    </row>
    <row r="180" spans="1:10" x14ac:dyDescent="0.25">
      <c r="A180" s="2">
        <v>108</v>
      </c>
      <c r="B180" s="24" t="s">
        <v>9</v>
      </c>
      <c r="C180" s="3" t="s">
        <v>754</v>
      </c>
      <c r="E180" s="3" t="s">
        <v>761</v>
      </c>
      <c r="F180" s="11">
        <v>725</v>
      </c>
      <c r="G180" s="12">
        <f t="shared" si="2"/>
        <v>725</v>
      </c>
      <c r="H180" s="28">
        <v>45799</v>
      </c>
      <c r="I180" s="3" t="s">
        <v>12</v>
      </c>
      <c r="J180" s="57" t="s">
        <v>762</v>
      </c>
    </row>
    <row r="181" spans="1:10" x14ac:dyDescent="0.25">
      <c r="A181" s="2">
        <v>78</v>
      </c>
      <c r="B181" s="24" t="s">
        <v>9</v>
      </c>
      <c r="C181" s="3" t="s">
        <v>754</v>
      </c>
      <c r="D181" s="5">
        <v>45770</v>
      </c>
      <c r="E181" s="3" t="s">
        <v>755</v>
      </c>
      <c r="F181" s="11">
        <v>1530</v>
      </c>
      <c r="G181" s="12">
        <f t="shared" si="2"/>
        <v>1530</v>
      </c>
      <c r="H181" s="28">
        <v>45775</v>
      </c>
      <c r="I181" s="3" t="s">
        <v>12</v>
      </c>
      <c r="J181" s="57" t="s">
        <v>756</v>
      </c>
    </row>
    <row r="182" spans="1:10" x14ac:dyDescent="0.25">
      <c r="A182" s="2">
        <v>79</v>
      </c>
      <c r="B182" s="3" t="s">
        <v>95</v>
      </c>
      <c r="C182" s="3" t="s">
        <v>766</v>
      </c>
      <c r="D182" s="26">
        <v>45772</v>
      </c>
      <c r="E182" s="3" t="s">
        <v>767</v>
      </c>
      <c r="F182" s="11">
        <v>2725.12</v>
      </c>
      <c r="G182" s="12">
        <f t="shared" si="2"/>
        <v>2725.12</v>
      </c>
      <c r="H182" s="28">
        <v>45775</v>
      </c>
      <c r="I182" s="3" t="s">
        <v>12</v>
      </c>
      <c r="J182" s="57" t="s">
        <v>768</v>
      </c>
    </row>
    <row r="183" spans="1:10" x14ac:dyDescent="0.25">
      <c r="A183" s="2">
        <v>80</v>
      </c>
      <c r="B183" s="24" t="s">
        <v>9</v>
      </c>
      <c r="C183" s="3" t="s">
        <v>769</v>
      </c>
      <c r="D183" s="5">
        <v>45769</v>
      </c>
      <c r="E183" s="3" t="s">
        <v>770</v>
      </c>
      <c r="F183" s="11">
        <v>1845</v>
      </c>
      <c r="G183" s="12">
        <f t="shared" si="2"/>
        <v>1845</v>
      </c>
      <c r="H183" s="28">
        <v>45777</v>
      </c>
      <c r="I183" s="3" t="s">
        <v>12</v>
      </c>
      <c r="J183" s="57" t="s">
        <v>771</v>
      </c>
    </row>
    <row r="184" spans="1:10" x14ac:dyDescent="0.25">
      <c r="A184" s="2">
        <v>86</v>
      </c>
      <c r="B184" s="24" t="s">
        <v>9</v>
      </c>
      <c r="C184" s="3" t="s">
        <v>772</v>
      </c>
      <c r="D184" s="26">
        <v>45770</v>
      </c>
      <c r="E184" s="3" t="s">
        <v>773</v>
      </c>
      <c r="F184" s="11">
        <v>2270</v>
      </c>
      <c r="G184" s="12">
        <f t="shared" si="2"/>
        <v>2270</v>
      </c>
      <c r="H184" s="28">
        <v>45789</v>
      </c>
      <c r="I184" s="3" t="s">
        <v>12</v>
      </c>
      <c r="J184" s="57" t="s">
        <v>774</v>
      </c>
    </row>
    <row r="185" spans="1:10" x14ac:dyDescent="0.25">
      <c r="A185" s="2">
        <v>87</v>
      </c>
      <c r="B185" s="3" t="s">
        <v>95</v>
      </c>
      <c r="C185" s="3" t="s">
        <v>748</v>
      </c>
      <c r="D185" s="26">
        <v>45778</v>
      </c>
      <c r="E185" s="3" t="s">
        <v>749</v>
      </c>
      <c r="F185" s="11">
        <v>826.36</v>
      </c>
      <c r="G185" s="12">
        <f t="shared" si="2"/>
        <v>826.36</v>
      </c>
      <c r="H185" s="28">
        <v>45789</v>
      </c>
      <c r="I185" s="3" t="s">
        <v>12</v>
      </c>
      <c r="J185" s="57" t="s">
        <v>750</v>
      </c>
    </row>
    <row r="186" spans="1:10" x14ac:dyDescent="0.25">
      <c r="A186" s="2">
        <v>88</v>
      </c>
      <c r="B186" s="24" t="s">
        <v>9</v>
      </c>
      <c r="C186" s="3" t="s">
        <v>743</v>
      </c>
      <c r="D186" s="5">
        <v>45782</v>
      </c>
      <c r="E186" s="3" t="s">
        <v>744</v>
      </c>
      <c r="F186" s="11">
        <v>975</v>
      </c>
      <c r="G186" s="12">
        <f t="shared" si="2"/>
        <v>975</v>
      </c>
      <c r="H186" s="28">
        <v>45789</v>
      </c>
      <c r="I186" s="3" t="s">
        <v>12</v>
      </c>
      <c r="J186" s="57" t="s">
        <v>745</v>
      </c>
    </row>
    <row r="187" spans="1:10" x14ac:dyDescent="0.25">
      <c r="A187" s="2">
        <v>42</v>
      </c>
      <c r="B187" s="3" t="s">
        <v>95</v>
      </c>
      <c r="C187" s="3" t="s">
        <v>748</v>
      </c>
      <c r="E187" s="63" t="s">
        <v>751</v>
      </c>
      <c r="F187" s="11">
        <v>935.5</v>
      </c>
      <c r="G187" s="12">
        <f t="shared" si="2"/>
        <v>0</v>
      </c>
      <c r="H187" s="4" t="s">
        <v>33</v>
      </c>
      <c r="I187" s="3" t="s">
        <v>12</v>
      </c>
      <c r="J187" s="57"/>
    </row>
    <row r="188" spans="1:10" x14ac:dyDescent="0.25">
      <c r="A188" s="2">
        <v>97</v>
      </c>
      <c r="B188" s="3" t="s">
        <v>95</v>
      </c>
      <c r="C188" s="3" t="s">
        <v>748</v>
      </c>
      <c r="E188" s="3" t="s">
        <v>752</v>
      </c>
      <c r="F188" s="11">
        <v>89</v>
      </c>
      <c r="G188" s="12">
        <f t="shared" si="2"/>
        <v>89</v>
      </c>
      <c r="H188" s="28">
        <v>45796</v>
      </c>
      <c r="I188" s="3" t="s">
        <v>12</v>
      </c>
      <c r="J188" s="57" t="s">
        <v>753</v>
      </c>
    </row>
    <row r="189" spans="1:10" x14ac:dyDescent="0.25">
      <c r="A189" s="2">
        <v>83</v>
      </c>
      <c r="B189" s="24" t="s">
        <v>9</v>
      </c>
      <c r="C189" s="3" t="s">
        <v>754</v>
      </c>
      <c r="D189" s="7"/>
      <c r="E189" s="3" t="s">
        <v>757</v>
      </c>
      <c r="F189" s="11">
        <v>278</v>
      </c>
      <c r="G189" s="12">
        <f t="shared" si="2"/>
        <v>278</v>
      </c>
      <c r="H189" s="28">
        <v>45784</v>
      </c>
      <c r="I189" s="3" t="s">
        <v>12</v>
      </c>
      <c r="J189" s="57" t="s">
        <v>758</v>
      </c>
    </row>
    <row r="190" spans="1:10" x14ac:dyDescent="0.25">
      <c r="A190" s="2">
        <v>89</v>
      </c>
      <c r="B190" s="24" t="s">
        <v>9</v>
      </c>
      <c r="C190" s="3" t="s">
        <v>738</v>
      </c>
      <c r="D190" s="26">
        <v>45786</v>
      </c>
      <c r="E190" s="3" t="s">
        <v>739</v>
      </c>
      <c r="F190" s="11">
        <v>3500</v>
      </c>
      <c r="G190" s="12">
        <f t="shared" si="2"/>
        <v>3500</v>
      </c>
      <c r="H190" s="28">
        <v>45791</v>
      </c>
      <c r="I190" s="3" t="s">
        <v>12</v>
      </c>
      <c r="J190" s="57" t="s">
        <v>740</v>
      </c>
    </row>
    <row r="191" spans="1:10" x14ac:dyDescent="0.25">
      <c r="A191" s="2">
        <v>712</v>
      </c>
      <c r="B191" s="24" t="s">
        <v>9</v>
      </c>
      <c r="C191" s="3" t="s">
        <v>738</v>
      </c>
      <c r="E191" s="3" t="s">
        <v>741</v>
      </c>
      <c r="F191" s="11">
        <v>11350</v>
      </c>
      <c r="G191" s="12">
        <f t="shared" si="2"/>
        <v>11350</v>
      </c>
      <c r="H191" s="29" t="s">
        <v>1730</v>
      </c>
      <c r="I191" s="3" t="s">
        <v>12</v>
      </c>
      <c r="J191" s="57" t="s">
        <v>742</v>
      </c>
    </row>
    <row r="192" spans="1:10" x14ac:dyDescent="0.25">
      <c r="A192" s="2">
        <v>244</v>
      </c>
      <c r="B192" s="24" t="s">
        <v>9</v>
      </c>
      <c r="C192" s="3" t="s">
        <v>775</v>
      </c>
      <c r="D192" s="5">
        <v>45786</v>
      </c>
      <c r="E192" s="3" t="s">
        <v>776</v>
      </c>
      <c r="F192" s="11">
        <v>675</v>
      </c>
      <c r="G192" s="12">
        <f t="shared" si="2"/>
        <v>675</v>
      </c>
      <c r="H192" s="28">
        <v>45855</v>
      </c>
      <c r="I192" s="3" t="s">
        <v>12</v>
      </c>
      <c r="J192" s="57" t="s">
        <v>777</v>
      </c>
    </row>
    <row r="193" spans="1:10" x14ac:dyDescent="0.25">
      <c r="A193" s="2">
        <v>98</v>
      </c>
      <c r="B193" s="24" t="s">
        <v>9</v>
      </c>
      <c r="C193" s="3" t="s">
        <v>743</v>
      </c>
      <c r="E193" s="3" t="s">
        <v>746</v>
      </c>
      <c r="F193" s="11">
        <v>7800</v>
      </c>
      <c r="G193" s="12">
        <f t="shared" ref="G193:G256" si="3">IF(J193&gt;0,F193,0)</f>
        <v>7800</v>
      </c>
      <c r="H193" s="28">
        <v>45796</v>
      </c>
      <c r="I193" s="3" t="s">
        <v>12</v>
      </c>
      <c r="J193" s="57" t="s">
        <v>747</v>
      </c>
    </row>
    <row r="194" spans="1:10" x14ac:dyDescent="0.25">
      <c r="A194" s="2">
        <v>91</v>
      </c>
      <c r="B194" s="24" t="s">
        <v>9</v>
      </c>
      <c r="C194" s="3" t="s">
        <v>778</v>
      </c>
      <c r="D194" s="26">
        <v>45786</v>
      </c>
      <c r="E194" s="3" t="s">
        <v>779</v>
      </c>
      <c r="F194" s="11">
        <v>8100</v>
      </c>
      <c r="G194" s="12">
        <f t="shared" si="3"/>
        <v>8100</v>
      </c>
      <c r="H194" s="28">
        <v>45796</v>
      </c>
      <c r="I194" s="3" t="s">
        <v>12</v>
      </c>
      <c r="J194" s="57" t="s">
        <v>780</v>
      </c>
    </row>
    <row r="195" spans="1:10" x14ac:dyDescent="0.25">
      <c r="A195" s="2">
        <v>94</v>
      </c>
      <c r="B195" s="24" t="s">
        <v>9</v>
      </c>
      <c r="C195" s="3" t="s">
        <v>781</v>
      </c>
      <c r="D195" s="5">
        <v>45791</v>
      </c>
      <c r="E195" s="3" t="s">
        <v>782</v>
      </c>
      <c r="F195" s="11">
        <v>5920</v>
      </c>
      <c r="G195" s="12">
        <f t="shared" si="3"/>
        <v>5920</v>
      </c>
      <c r="H195" s="28">
        <v>45796</v>
      </c>
      <c r="I195" s="3" t="s">
        <v>12</v>
      </c>
      <c r="J195" s="57" t="s">
        <v>783</v>
      </c>
    </row>
    <row r="196" spans="1:10" x14ac:dyDescent="0.25">
      <c r="A196" s="2">
        <v>99</v>
      </c>
      <c r="B196" s="24" t="s">
        <v>9</v>
      </c>
      <c r="C196" s="3" t="s">
        <v>784</v>
      </c>
      <c r="D196" s="26">
        <v>45786</v>
      </c>
      <c r="E196" s="3" t="s">
        <v>785</v>
      </c>
      <c r="F196" s="11">
        <v>5280</v>
      </c>
      <c r="G196" s="12">
        <f t="shared" si="3"/>
        <v>5280</v>
      </c>
      <c r="H196" s="28">
        <v>45797</v>
      </c>
      <c r="I196" s="3" t="s">
        <v>12</v>
      </c>
      <c r="J196" s="57" t="s">
        <v>786</v>
      </c>
    </row>
    <row r="197" spans="1:10" x14ac:dyDescent="0.25">
      <c r="A197" s="2">
        <v>100</v>
      </c>
      <c r="B197" s="24" t="s">
        <v>9</v>
      </c>
      <c r="C197" s="3" t="s">
        <v>733</v>
      </c>
      <c r="D197" s="5">
        <v>45790</v>
      </c>
      <c r="E197" s="3" t="s">
        <v>734</v>
      </c>
      <c r="F197" s="11">
        <v>1200</v>
      </c>
      <c r="G197" s="12">
        <f t="shared" si="3"/>
        <v>1200</v>
      </c>
      <c r="H197" s="28">
        <v>45797</v>
      </c>
      <c r="I197" s="3" t="s">
        <v>12</v>
      </c>
      <c r="J197" s="57" t="s">
        <v>735</v>
      </c>
    </row>
    <row r="198" spans="1:10" x14ac:dyDescent="0.25">
      <c r="A198" s="2">
        <v>109</v>
      </c>
      <c r="B198" s="24" t="s">
        <v>9</v>
      </c>
      <c r="C198" s="3" t="s">
        <v>733</v>
      </c>
      <c r="E198" s="3" t="s">
        <v>736</v>
      </c>
      <c r="F198" s="11">
        <v>260</v>
      </c>
      <c r="G198" s="12">
        <f t="shared" si="3"/>
        <v>260</v>
      </c>
      <c r="H198" s="28">
        <v>45799</v>
      </c>
      <c r="I198" s="3" t="s">
        <v>12</v>
      </c>
      <c r="J198" s="57" t="s">
        <v>737</v>
      </c>
    </row>
    <row r="199" spans="1:10" x14ac:dyDescent="0.25">
      <c r="A199" s="2">
        <v>96</v>
      </c>
      <c r="B199" s="24" t="s">
        <v>9</v>
      </c>
      <c r="C199" s="3" t="s">
        <v>787</v>
      </c>
      <c r="D199" s="5">
        <v>45793</v>
      </c>
      <c r="E199" s="3" t="s">
        <v>788</v>
      </c>
      <c r="F199" s="11">
        <v>2850</v>
      </c>
      <c r="G199" s="12">
        <f t="shared" si="3"/>
        <v>2850</v>
      </c>
      <c r="H199" s="28">
        <v>45796</v>
      </c>
      <c r="I199" s="3" t="s">
        <v>12</v>
      </c>
      <c r="J199" s="57" t="s">
        <v>789</v>
      </c>
    </row>
    <row r="200" spans="1:10" x14ac:dyDescent="0.25">
      <c r="A200" s="2">
        <v>106</v>
      </c>
      <c r="B200" s="24" t="s">
        <v>9</v>
      </c>
      <c r="C200" s="3" t="s">
        <v>790</v>
      </c>
      <c r="D200" s="26">
        <v>45792</v>
      </c>
      <c r="E200" s="3" t="s">
        <v>791</v>
      </c>
      <c r="F200" s="11">
        <v>450</v>
      </c>
      <c r="G200" s="12">
        <f t="shared" si="3"/>
        <v>450</v>
      </c>
      <c r="H200" s="28">
        <v>45798</v>
      </c>
      <c r="I200" s="3" t="s">
        <v>12</v>
      </c>
      <c r="J200" s="57" t="s">
        <v>792</v>
      </c>
    </row>
    <row r="201" spans="1:10" x14ac:dyDescent="0.25">
      <c r="A201" s="2">
        <v>134</v>
      </c>
      <c r="B201" s="24" t="s">
        <v>9</v>
      </c>
      <c r="C201" s="3" t="s">
        <v>793</v>
      </c>
      <c r="D201" s="26">
        <v>45790</v>
      </c>
      <c r="E201" s="3" t="s">
        <v>794</v>
      </c>
      <c r="F201" s="11">
        <v>3470</v>
      </c>
      <c r="G201" s="12">
        <f t="shared" si="3"/>
        <v>3470</v>
      </c>
      <c r="H201" s="28">
        <v>45817</v>
      </c>
      <c r="I201" s="3" t="s">
        <v>12</v>
      </c>
      <c r="J201" s="57" t="s">
        <v>795</v>
      </c>
    </row>
    <row r="202" spans="1:10" x14ac:dyDescent="0.25">
      <c r="A202" s="2">
        <v>142</v>
      </c>
      <c r="B202" s="24" t="s">
        <v>9</v>
      </c>
      <c r="C202" s="3" t="s">
        <v>796</v>
      </c>
      <c r="D202" s="26">
        <v>45799</v>
      </c>
      <c r="E202" s="3" t="s">
        <v>797</v>
      </c>
      <c r="F202" s="11">
        <v>270</v>
      </c>
      <c r="G202" s="12">
        <f t="shared" si="3"/>
        <v>270</v>
      </c>
      <c r="H202" s="28">
        <v>45819</v>
      </c>
      <c r="I202" s="3" t="s">
        <v>12</v>
      </c>
      <c r="J202" s="57" t="s">
        <v>798</v>
      </c>
    </row>
    <row r="203" spans="1:10" x14ac:dyDescent="0.25">
      <c r="A203" s="2">
        <v>135</v>
      </c>
      <c r="B203" s="24" t="s">
        <v>9</v>
      </c>
      <c r="C203" s="3" t="s">
        <v>799</v>
      </c>
      <c r="D203" s="5">
        <v>45799</v>
      </c>
      <c r="E203" s="3" t="s">
        <v>800</v>
      </c>
      <c r="F203" s="11">
        <v>4390</v>
      </c>
      <c r="G203" s="12">
        <f t="shared" si="3"/>
        <v>4390</v>
      </c>
      <c r="H203" s="28">
        <v>45817</v>
      </c>
      <c r="I203" s="3" t="s">
        <v>12</v>
      </c>
      <c r="J203" s="57" t="s">
        <v>801</v>
      </c>
    </row>
    <row r="204" spans="1:10" x14ac:dyDescent="0.25">
      <c r="A204" s="2">
        <v>207</v>
      </c>
      <c r="B204" s="24" t="s">
        <v>9</v>
      </c>
      <c r="C204" s="3" t="s">
        <v>724</v>
      </c>
      <c r="D204" s="26">
        <v>45800</v>
      </c>
      <c r="E204" s="3" t="s">
        <v>725</v>
      </c>
      <c r="F204" s="11">
        <v>2925</v>
      </c>
      <c r="G204" s="12">
        <f t="shared" si="3"/>
        <v>2925</v>
      </c>
      <c r="H204" s="28">
        <v>45842</v>
      </c>
      <c r="I204" s="3" t="s">
        <v>12</v>
      </c>
      <c r="J204" s="57" t="s">
        <v>726</v>
      </c>
    </row>
    <row r="205" spans="1:10" x14ac:dyDescent="0.25">
      <c r="A205" s="2">
        <v>112</v>
      </c>
      <c r="B205" s="24" t="s">
        <v>9</v>
      </c>
      <c r="C205" s="3" t="s">
        <v>724</v>
      </c>
      <c r="D205" s="7"/>
      <c r="E205" s="3" t="s">
        <v>731</v>
      </c>
      <c r="F205" s="11">
        <v>572.5</v>
      </c>
      <c r="G205" s="12">
        <f t="shared" si="3"/>
        <v>572.5</v>
      </c>
      <c r="H205" s="28">
        <v>45805</v>
      </c>
      <c r="I205" s="3" t="s">
        <v>12</v>
      </c>
      <c r="J205" s="57" t="s">
        <v>732</v>
      </c>
    </row>
    <row r="206" spans="1:10" x14ac:dyDescent="0.25">
      <c r="A206" s="2">
        <v>132</v>
      </c>
      <c r="B206" s="24" t="s">
        <v>9</v>
      </c>
      <c r="C206" s="3" t="s">
        <v>724</v>
      </c>
      <c r="E206" s="3" t="s">
        <v>729</v>
      </c>
      <c r="F206" s="11">
        <v>1975</v>
      </c>
      <c r="G206" s="12">
        <f t="shared" si="3"/>
        <v>1975</v>
      </c>
      <c r="H206" s="28">
        <v>45811</v>
      </c>
      <c r="I206" s="3" t="s">
        <v>12</v>
      </c>
      <c r="J206" s="57" t="s">
        <v>730</v>
      </c>
    </row>
    <row r="207" spans="1:10" x14ac:dyDescent="0.25">
      <c r="A207" s="2">
        <v>133</v>
      </c>
      <c r="B207" s="24" t="s">
        <v>9</v>
      </c>
      <c r="C207" s="3" t="s">
        <v>724</v>
      </c>
      <c r="D207" s="7"/>
      <c r="E207" s="3" t="s">
        <v>727</v>
      </c>
      <c r="F207" s="11">
        <v>6149</v>
      </c>
      <c r="G207" s="12">
        <f t="shared" si="3"/>
        <v>6149</v>
      </c>
      <c r="H207" s="28">
        <v>45811</v>
      </c>
      <c r="I207" s="3" t="s">
        <v>12</v>
      </c>
      <c r="J207" s="57" t="s">
        <v>728</v>
      </c>
    </row>
    <row r="208" spans="1:10" x14ac:dyDescent="0.25">
      <c r="A208" s="2">
        <v>118</v>
      </c>
      <c r="B208" s="3" t="s">
        <v>95</v>
      </c>
      <c r="C208" s="3" t="s">
        <v>681</v>
      </c>
      <c r="D208" s="26">
        <v>45804</v>
      </c>
      <c r="E208" s="3" t="s">
        <v>682</v>
      </c>
      <c r="F208" s="11">
        <v>818.1</v>
      </c>
      <c r="G208" s="12">
        <f t="shared" si="3"/>
        <v>818.1</v>
      </c>
      <c r="H208" s="28">
        <v>45807</v>
      </c>
      <c r="I208" s="3" t="s">
        <v>12</v>
      </c>
      <c r="J208" s="57" t="s">
        <v>683</v>
      </c>
    </row>
    <row r="209" spans="1:10" x14ac:dyDescent="0.25">
      <c r="A209" s="2">
        <v>120</v>
      </c>
      <c r="B209" s="3" t="s">
        <v>95</v>
      </c>
      <c r="C209" s="3" t="s">
        <v>714</v>
      </c>
      <c r="D209" s="5">
        <v>45803</v>
      </c>
      <c r="E209" s="3" t="s">
        <v>715</v>
      </c>
      <c r="F209" s="11">
        <v>1736.5</v>
      </c>
      <c r="G209" s="12">
        <f t="shared" si="3"/>
        <v>1736.5</v>
      </c>
      <c r="H209" s="28">
        <v>45809</v>
      </c>
      <c r="I209" s="3" t="s">
        <v>12</v>
      </c>
      <c r="J209" s="57" t="s">
        <v>716</v>
      </c>
    </row>
    <row r="210" spans="1:10" x14ac:dyDescent="0.25">
      <c r="A210" s="2">
        <v>125</v>
      </c>
      <c r="B210" s="3" t="s">
        <v>95</v>
      </c>
      <c r="C210" s="3" t="s">
        <v>681</v>
      </c>
      <c r="E210" s="3" t="s">
        <v>684</v>
      </c>
      <c r="F210" s="11">
        <v>460</v>
      </c>
      <c r="G210" s="12">
        <f t="shared" si="3"/>
        <v>460</v>
      </c>
      <c r="H210" s="28">
        <v>45809</v>
      </c>
      <c r="I210" s="3" t="s">
        <v>12</v>
      </c>
      <c r="J210" s="57" t="s">
        <v>685</v>
      </c>
    </row>
    <row r="211" spans="1:10" x14ac:dyDescent="0.25">
      <c r="A211" s="2">
        <v>126</v>
      </c>
      <c r="B211" s="3" t="s">
        <v>95</v>
      </c>
      <c r="C211" s="3" t="s">
        <v>681</v>
      </c>
      <c r="E211" s="3" t="s">
        <v>686</v>
      </c>
      <c r="F211" s="11">
        <v>480</v>
      </c>
      <c r="G211" s="12">
        <f t="shared" si="3"/>
        <v>480</v>
      </c>
      <c r="H211" s="28">
        <v>45809</v>
      </c>
      <c r="I211" s="3" t="s">
        <v>12</v>
      </c>
      <c r="J211" s="57" t="s">
        <v>687</v>
      </c>
    </row>
    <row r="212" spans="1:10" x14ac:dyDescent="0.25">
      <c r="A212" s="2">
        <v>124</v>
      </c>
      <c r="B212" s="3" t="s">
        <v>95</v>
      </c>
      <c r="C212" s="3" t="s">
        <v>714</v>
      </c>
      <c r="D212" s="7"/>
      <c r="E212" s="3" t="s">
        <v>717</v>
      </c>
      <c r="F212" s="11">
        <v>1035</v>
      </c>
      <c r="G212" s="12">
        <f t="shared" si="3"/>
        <v>1035</v>
      </c>
      <c r="H212" s="28">
        <v>45809</v>
      </c>
      <c r="I212" s="3" t="s">
        <v>12</v>
      </c>
      <c r="J212" s="57" t="s">
        <v>718</v>
      </c>
    </row>
    <row r="213" spans="1:10" x14ac:dyDescent="0.25">
      <c r="A213" s="2">
        <v>141</v>
      </c>
      <c r="B213" s="3" t="s">
        <v>95</v>
      </c>
      <c r="C213" s="3" t="s">
        <v>802</v>
      </c>
      <c r="D213" s="26">
        <v>45798</v>
      </c>
      <c r="E213" s="3" t="s">
        <v>803</v>
      </c>
      <c r="F213" s="11">
        <v>3770</v>
      </c>
      <c r="G213" s="12">
        <f t="shared" si="3"/>
        <v>3770</v>
      </c>
      <c r="H213" s="28">
        <v>45819</v>
      </c>
      <c r="I213" s="3" t="s">
        <v>12</v>
      </c>
      <c r="J213" s="57" t="s">
        <v>804</v>
      </c>
    </row>
    <row r="214" spans="1:10" x14ac:dyDescent="0.25">
      <c r="A214" s="2">
        <v>119</v>
      </c>
      <c r="B214" s="24" t="s">
        <v>9</v>
      </c>
      <c r="C214" s="3" t="s">
        <v>805</v>
      </c>
      <c r="D214" s="5">
        <v>45805</v>
      </c>
      <c r="E214" s="3" t="s">
        <v>806</v>
      </c>
      <c r="F214" s="11">
        <v>1500</v>
      </c>
      <c r="G214" s="12">
        <f t="shared" si="3"/>
        <v>1500</v>
      </c>
      <c r="H214" s="28">
        <v>45807</v>
      </c>
      <c r="I214" s="3" t="s">
        <v>12</v>
      </c>
      <c r="J214" s="57" t="s">
        <v>807</v>
      </c>
    </row>
    <row r="215" spans="1:10" x14ac:dyDescent="0.25">
      <c r="A215" s="2">
        <v>149</v>
      </c>
      <c r="B215" s="24" t="s">
        <v>9</v>
      </c>
      <c r="C215" s="3" t="s">
        <v>808</v>
      </c>
      <c r="D215" s="26">
        <v>45805</v>
      </c>
      <c r="E215" s="3" t="s">
        <v>809</v>
      </c>
      <c r="F215" s="11">
        <v>2160</v>
      </c>
      <c r="G215" s="12">
        <f t="shared" si="3"/>
        <v>2160</v>
      </c>
      <c r="H215" s="28">
        <v>45821</v>
      </c>
      <c r="I215" s="3" t="s">
        <v>12</v>
      </c>
      <c r="J215" s="57" t="s">
        <v>810</v>
      </c>
    </row>
    <row r="216" spans="1:10" x14ac:dyDescent="0.25">
      <c r="A216" s="2">
        <v>122</v>
      </c>
      <c r="B216" s="24" t="s">
        <v>9</v>
      </c>
      <c r="C216" s="3" t="s">
        <v>688</v>
      </c>
      <c r="D216" s="7"/>
      <c r="E216" s="3" t="s">
        <v>691</v>
      </c>
      <c r="F216" s="11">
        <v>320</v>
      </c>
      <c r="G216" s="12">
        <f t="shared" si="3"/>
        <v>320</v>
      </c>
      <c r="H216" s="28">
        <v>45809</v>
      </c>
      <c r="I216" s="3" t="s">
        <v>12</v>
      </c>
      <c r="J216" s="57" t="s">
        <v>692</v>
      </c>
    </row>
    <row r="217" spans="1:10" x14ac:dyDescent="0.25">
      <c r="A217" s="2">
        <v>136</v>
      </c>
      <c r="B217" s="24" t="s">
        <v>9</v>
      </c>
      <c r="C217" s="3" t="s">
        <v>688</v>
      </c>
      <c r="D217" s="26">
        <v>45804</v>
      </c>
      <c r="E217" s="3" t="s">
        <v>689</v>
      </c>
      <c r="F217" s="11">
        <v>4012.5</v>
      </c>
      <c r="G217" s="12">
        <f t="shared" si="3"/>
        <v>4012.5</v>
      </c>
      <c r="H217" s="28">
        <v>45817</v>
      </c>
      <c r="I217" s="3" t="s">
        <v>12</v>
      </c>
      <c r="J217" s="57" t="s">
        <v>690</v>
      </c>
    </row>
    <row r="218" spans="1:10" x14ac:dyDescent="0.25">
      <c r="A218" s="2">
        <v>157</v>
      </c>
      <c r="B218" s="3" t="s">
        <v>95</v>
      </c>
      <c r="C218" s="3" t="s">
        <v>665</v>
      </c>
      <c r="E218" s="3" t="s">
        <v>668</v>
      </c>
      <c r="F218" s="11">
        <v>10673</v>
      </c>
      <c r="G218" s="12">
        <f t="shared" si="3"/>
        <v>10673</v>
      </c>
      <c r="H218" s="28">
        <v>45825</v>
      </c>
      <c r="I218" s="3" t="s">
        <v>12</v>
      </c>
      <c r="J218" s="57" t="s">
        <v>669</v>
      </c>
    </row>
    <row r="219" spans="1:10" x14ac:dyDescent="0.25">
      <c r="A219" s="2">
        <v>248</v>
      </c>
      <c r="B219" s="3" t="s">
        <v>95</v>
      </c>
      <c r="C219" s="3" t="s">
        <v>665</v>
      </c>
      <c r="D219" s="7"/>
      <c r="E219" s="3" t="s">
        <v>672</v>
      </c>
      <c r="F219" s="11">
        <v>216.5</v>
      </c>
      <c r="G219" s="12">
        <f t="shared" si="3"/>
        <v>216.5</v>
      </c>
      <c r="H219" s="28">
        <v>45855</v>
      </c>
      <c r="I219" s="3" t="s">
        <v>12</v>
      </c>
      <c r="J219" s="57" t="s">
        <v>673</v>
      </c>
    </row>
    <row r="220" spans="1:10" x14ac:dyDescent="0.25">
      <c r="A220" s="2">
        <v>128</v>
      </c>
      <c r="B220" s="3" t="s">
        <v>95</v>
      </c>
      <c r="C220" s="3" t="s">
        <v>665</v>
      </c>
      <c r="E220" s="3" t="s">
        <v>674</v>
      </c>
      <c r="F220" s="11">
        <v>900</v>
      </c>
      <c r="G220" s="12">
        <f t="shared" si="3"/>
        <v>900</v>
      </c>
      <c r="H220" s="28">
        <v>45810</v>
      </c>
      <c r="I220" s="3" t="s">
        <v>12</v>
      </c>
      <c r="J220" s="57" t="s">
        <v>675</v>
      </c>
    </row>
    <row r="221" spans="1:10" x14ac:dyDescent="0.25">
      <c r="A221" s="2">
        <v>123</v>
      </c>
      <c r="B221" s="3" t="s">
        <v>95</v>
      </c>
      <c r="C221" s="3" t="s">
        <v>665</v>
      </c>
      <c r="E221" s="3" t="s">
        <v>670</v>
      </c>
      <c r="F221" s="11">
        <v>2300</v>
      </c>
      <c r="G221" s="12">
        <f t="shared" si="3"/>
        <v>2300</v>
      </c>
      <c r="H221" s="28">
        <v>45809</v>
      </c>
      <c r="I221" s="3" t="s">
        <v>12</v>
      </c>
      <c r="J221" s="57" t="s">
        <v>671</v>
      </c>
    </row>
    <row r="222" spans="1:10" x14ac:dyDescent="0.25">
      <c r="A222" s="2">
        <v>148</v>
      </c>
      <c r="B222" s="3" t="s">
        <v>95</v>
      </c>
      <c r="C222" s="3" t="s">
        <v>665</v>
      </c>
      <c r="D222" s="26">
        <v>45805</v>
      </c>
      <c r="E222" s="3" t="s">
        <v>666</v>
      </c>
      <c r="F222" s="11">
        <v>7125</v>
      </c>
      <c r="G222" s="12">
        <f t="shared" si="3"/>
        <v>7125</v>
      </c>
      <c r="H222" s="28">
        <v>45821</v>
      </c>
      <c r="I222" s="3" t="s">
        <v>12</v>
      </c>
      <c r="J222" s="57" t="s">
        <v>667</v>
      </c>
    </row>
    <row r="223" spans="1:10" x14ac:dyDescent="0.25">
      <c r="A223" s="2">
        <v>127</v>
      </c>
      <c r="B223" s="3" t="s">
        <v>95</v>
      </c>
      <c r="C223" s="3" t="s">
        <v>660</v>
      </c>
      <c r="D223" s="26">
        <v>45805</v>
      </c>
      <c r="E223" s="3" t="s">
        <v>661</v>
      </c>
      <c r="F223" s="11">
        <v>1530</v>
      </c>
      <c r="G223" s="12">
        <f t="shared" si="3"/>
        <v>1530</v>
      </c>
      <c r="H223" s="28">
        <v>45810</v>
      </c>
      <c r="I223" s="3" t="s">
        <v>12</v>
      </c>
      <c r="J223" s="57" t="s">
        <v>662</v>
      </c>
    </row>
    <row r="224" spans="1:10" x14ac:dyDescent="0.25">
      <c r="A224" s="2">
        <v>121</v>
      </c>
      <c r="B224" s="3" t="s">
        <v>95</v>
      </c>
      <c r="C224" s="3" t="s">
        <v>660</v>
      </c>
      <c r="E224" s="3" t="s">
        <v>663</v>
      </c>
      <c r="F224" s="11">
        <v>1850</v>
      </c>
      <c r="G224" s="12">
        <f t="shared" si="3"/>
        <v>1850</v>
      </c>
      <c r="H224" s="28">
        <v>45809</v>
      </c>
      <c r="I224" s="3" t="s">
        <v>12</v>
      </c>
      <c r="J224" s="57" t="s">
        <v>664</v>
      </c>
    </row>
    <row r="225" spans="1:10" x14ac:dyDescent="0.25">
      <c r="A225" s="2">
        <v>161</v>
      </c>
      <c r="B225" s="24" t="s">
        <v>9</v>
      </c>
      <c r="C225" s="3" t="s">
        <v>811</v>
      </c>
      <c r="D225" s="26">
        <v>45806</v>
      </c>
      <c r="E225" s="3" t="s">
        <v>812</v>
      </c>
      <c r="F225" s="11">
        <v>9687.9</v>
      </c>
      <c r="G225" s="12">
        <f t="shared" si="3"/>
        <v>9687.9</v>
      </c>
      <c r="H225" s="28">
        <v>45826</v>
      </c>
      <c r="I225" s="3" t="s">
        <v>12</v>
      </c>
      <c r="J225" s="57" t="s">
        <v>813</v>
      </c>
    </row>
    <row r="226" spans="1:10" ht="30" x14ac:dyDescent="0.25">
      <c r="A226" s="2">
        <v>470</v>
      </c>
      <c r="B226" s="40" t="s">
        <v>95</v>
      </c>
      <c r="C226" s="3" t="s">
        <v>1189</v>
      </c>
      <c r="D226" s="5">
        <v>45807</v>
      </c>
      <c r="E226" s="63" t="s">
        <v>1190</v>
      </c>
      <c r="F226" s="11">
        <v>28250</v>
      </c>
      <c r="G226" s="12">
        <f t="shared" si="3"/>
        <v>28250</v>
      </c>
      <c r="H226" s="4" t="s">
        <v>12</v>
      </c>
      <c r="I226" s="3" t="s">
        <v>12</v>
      </c>
      <c r="J226" s="62" t="s">
        <v>1753</v>
      </c>
    </row>
    <row r="227" spans="1:10" x14ac:dyDescent="0.25">
      <c r="A227" s="2">
        <v>139</v>
      </c>
      <c r="B227" s="3" t="s">
        <v>95</v>
      </c>
      <c r="C227" s="3" t="s">
        <v>814</v>
      </c>
      <c r="D227" s="26">
        <v>45810</v>
      </c>
      <c r="E227" s="3" t="s">
        <v>815</v>
      </c>
      <c r="F227" s="11">
        <v>33885</v>
      </c>
      <c r="G227" s="12">
        <f t="shared" si="3"/>
        <v>33885</v>
      </c>
      <c r="H227" s="28">
        <v>45818</v>
      </c>
      <c r="I227" s="3" t="s">
        <v>12</v>
      </c>
      <c r="J227" s="57" t="s">
        <v>816</v>
      </c>
    </row>
    <row r="228" spans="1:10" x14ac:dyDescent="0.25">
      <c r="A228" s="2">
        <v>151</v>
      </c>
      <c r="B228" s="3" t="s">
        <v>95</v>
      </c>
      <c r="C228" s="3" t="s">
        <v>643</v>
      </c>
      <c r="D228" s="5">
        <v>45817</v>
      </c>
      <c r="E228" s="3" t="s">
        <v>644</v>
      </c>
      <c r="F228" s="11">
        <v>1800</v>
      </c>
      <c r="G228" s="12">
        <f t="shared" si="3"/>
        <v>1800</v>
      </c>
      <c r="H228" s="28">
        <v>45821</v>
      </c>
      <c r="I228" s="3" t="s">
        <v>12</v>
      </c>
      <c r="J228" s="57" t="s">
        <v>645</v>
      </c>
    </row>
    <row r="229" spans="1:10" x14ac:dyDescent="0.25">
      <c r="A229" s="2">
        <v>143</v>
      </c>
      <c r="B229" s="24" t="s">
        <v>9</v>
      </c>
      <c r="C229" s="3" t="s">
        <v>719</v>
      </c>
      <c r="D229" s="26">
        <v>45803</v>
      </c>
      <c r="E229" s="3" t="s">
        <v>720</v>
      </c>
      <c r="F229" s="11">
        <v>12840</v>
      </c>
      <c r="G229" s="12">
        <f t="shared" si="3"/>
        <v>12840</v>
      </c>
      <c r="H229" s="28">
        <v>45819</v>
      </c>
      <c r="I229" s="3" t="s">
        <v>12</v>
      </c>
      <c r="J229" s="57" t="s">
        <v>721</v>
      </c>
    </row>
    <row r="230" spans="1:10" x14ac:dyDescent="0.25">
      <c r="A230" s="2">
        <v>147</v>
      </c>
      <c r="B230" s="24" t="s">
        <v>9</v>
      </c>
      <c r="C230" s="3" t="s">
        <v>719</v>
      </c>
      <c r="E230" s="3" t="s">
        <v>722</v>
      </c>
      <c r="F230" s="11">
        <v>7800</v>
      </c>
      <c r="G230" s="12">
        <f t="shared" si="3"/>
        <v>7800</v>
      </c>
      <c r="H230" s="28">
        <v>45820</v>
      </c>
      <c r="I230" s="3" t="s">
        <v>12</v>
      </c>
      <c r="J230" s="57" t="s">
        <v>723</v>
      </c>
    </row>
    <row r="231" spans="1:10" x14ac:dyDescent="0.25">
      <c r="A231" s="2">
        <v>184</v>
      </c>
      <c r="B231" s="24" t="s">
        <v>9</v>
      </c>
      <c r="C231" s="3" t="s">
        <v>817</v>
      </c>
      <c r="D231" s="5">
        <v>45817</v>
      </c>
      <c r="E231" s="3" t="s">
        <v>818</v>
      </c>
      <c r="F231" s="11">
        <v>9687.9</v>
      </c>
      <c r="G231" s="12">
        <f t="shared" si="3"/>
        <v>9687.9</v>
      </c>
      <c r="H231" s="28">
        <v>45834</v>
      </c>
      <c r="I231" s="3" t="s">
        <v>12</v>
      </c>
      <c r="J231" s="57" t="s">
        <v>819</v>
      </c>
    </row>
    <row r="232" spans="1:10" x14ac:dyDescent="0.25">
      <c r="A232" s="2">
        <v>150</v>
      </c>
      <c r="B232" s="3" t="s">
        <v>95</v>
      </c>
      <c r="C232" s="3" t="s">
        <v>655</v>
      </c>
      <c r="D232" s="26">
        <v>45807</v>
      </c>
      <c r="E232" s="3" t="s">
        <v>656</v>
      </c>
      <c r="F232" s="11">
        <v>900</v>
      </c>
      <c r="G232" s="12">
        <f t="shared" si="3"/>
        <v>900</v>
      </c>
      <c r="H232" s="28">
        <v>45821</v>
      </c>
      <c r="I232" s="3" t="s">
        <v>12</v>
      </c>
      <c r="J232" s="57" t="s">
        <v>657</v>
      </c>
    </row>
    <row r="233" spans="1:10" x14ac:dyDescent="0.25">
      <c r="A233" s="2">
        <v>144</v>
      </c>
      <c r="B233" s="3" t="s">
        <v>95</v>
      </c>
      <c r="C233" s="3" t="s">
        <v>655</v>
      </c>
      <c r="D233" s="7"/>
      <c r="E233" s="3" t="s">
        <v>658</v>
      </c>
      <c r="F233" s="11">
        <v>1040</v>
      </c>
      <c r="G233" s="12">
        <f t="shared" si="3"/>
        <v>1040</v>
      </c>
      <c r="H233" s="28">
        <v>45819</v>
      </c>
      <c r="I233" s="3" t="s">
        <v>12</v>
      </c>
      <c r="J233" s="57" t="s">
        <v>659</v>
      </c>
    </row>
    <row r="234" spans="1:10" x14ac:dyDescent="0.25">
      <c r="A234" s="2">
        <v>145</v>
      </c>
      <c r="B234" s="24" t="s">
        <v>9</v>
      </c>
      <c r="C234" s="3" t="s">
        <v>820</v>
      </c>
      <c r="D234" s="26">
        <v>45803</v>
      </c>
      <c r="E234" s="3" t="s">
        <v>821</v>
      </c>
      <c r="F234" s="11">
        <v>1775</v>
      </c>
      <c r="G234" s="12">
        <f t="shared" si="3"/>
        <v>1775</v>
      </c>
      <c r="H234" s="28">
        <v>45820</v>
      </c>
      <c r="I234" s="3" t="s">
        <v>12</v>
      </c>
      <c r="J234" s="57" t="s">
        <v>822</v>
      </c>
    </row>
    <row r="235" spans="1:10" x14ac:dyDescent="0.25">
      <c r="A235" s="2">
        <v>146</v>
      </c>
      <c r="B235" s="24" t="s">
        <v>9</v>
      </c>
      <c r="C235" s="3" t="s">
        <v>621</v>
      </c>
      <c r="D235" s="5">
        <v>45819</v>
      </c>
      <c r="E235" s="3" t="s">
        <v>622</v>
      </c>
      <c r="F235" s="11">
        <v>650</v>
      </c>
      <c r="G235" s="12">
        <f t="shared" si="3"/>
        <v>650</v>
      </c>
      <c r="H235" s="28">
        <v>45820</v>
      </c>
      <c r="I235" s="3" t="s">
        <v>12</v>
      </c>
      <c r="J235" s="57" t="s">
        <v>623</v>
      </c>
    </row>
    <row r="236" spans="1:10" x14ac:dyDescent="0.25">
      <c r="A236" s="2">
        <v>182</v>
      </c>
      <c r="B236" s="3" t="s">
        <v>95</v>
      </c>
      <c r="C236" s="3" t="s">
        <v>628</v>
      </c>
      <c r="E236" s="3" t="s">
        <v>637</v>
      </c>
      <c r="F236" s="11">
        <v>760</v>
      </c>
      <c r="G236" s="12">
        <f t="shared" si="3"/>
        <v>760</v>
      </c>
      <c r="H236" s="28">
        <v>45833</v>
      </c>
      <c r="I236" s="3" t="s">
        <v>12</v>
      </c>
      <c r="J236" s="57" t="s">
        <v>638</v>
      </c>
    </row>
    <row r="237" spans="1:10" x14ac:dyDescent="0.25">
      <c r="A237" s="2">
        <v>159</v>
      </c>
      <c r="B237" s="24" t="s">
        <v>9</v>
      </c>
      <c r="C237" s="3" t="s">
        <v>621</v>
      </c>
      <c r="E237" s="3" t="s">
        <v>626</v>
      </c>
      <c r="F237" s="11">
        <v>90</v>
      </c>
      <c r="G237" s="12">
        <f t="shared" si="3"/>
        <v>90</v>
      </c>
      <c r="H237" s="28">
        <v>45825</v>
      </c>
      <c r="I237" s="3" t="s">
        <v>12</v>
      </c>
      <c r="J237" s="57" t="s">
        <v>627</v>
      </c>
    </row>
    <row r="238" spans="1:10" x14ac:dyDescent="0.25">
      <c r="A238" s="2">
        <v>249</v>
      </c>
      <c r="B238" s="24" t="s">
        <v>9</v>
      </c>
      <c r="C238" s="3" t="s">
        <v>648</v>
      </c>
      <c r="E238" s="3" t="s">
        <v>653</v>
      </c>
      <c r="F238" s="11">
        <v>185</v>
      </c>
      <c r="G238" s="12">
        <f t="shared" si="3"/>
        <v>185</v>
      </c>
      <c r="H238" s="28">
        <v>45855</v>
      </c>
      <c r="I238" s="3" t="s">
        <v>12</v>
      </c>
      <c r="J238" s="57" t="s">
        <v>654</v>
      </c>
    </row>
    <row r="239" spans="1:10" x14ac:dyDescent="0.25">
      <c r="A239" s="2">
        <v>41</v>
      </c>
      <c r="B239" s="24" t="s">
        <v>9</v>
      </c>
      <c r="C239" s="3" t="s">
        <v>617</v>
      </c>
      <c r="D239" s="26">
        <v>45820</v>
      </c>
      <c r="E239" s="63" t="s">
        <v>618</v>
      </c>
      <c r="F239" s="11">
        <v>0</v>
      </c>
      <c r="G239" s="12">
        <f t="shared" si="3"/>
        <v>0</v>
      </c>
      <c r="H239" s="4" t="s">
        <v>33</v>
      </c>
      <c r="I239" s="3" t="s">
        <v>12</v>
      </c>
      <c r="J239" s="57"/>
    </row>
    <row r="240" spans="1:10" x14ac:dyDescent="0.25">
      <c r="A240" s="2">
        <v>158</v>
      </c>
      <c r="B240" s="24" t="s">
        <v>9</v>
      </c>
      <c r="C240" s="3" t="s">
        <v>617</v>
      </c>
      <c r="D240" s="7"/>
      <c r="E240" s="3" t="s">
        <v>619</v>
      </c>
      <c r="F240" s="11">
        <v>1000</v>
      </c>
      <c r="G240" s="12">
        <f t="shared" si="3"/>
        <v>1000</v>
      </c>
      <c r="H240" s="28">
        <v>45825</v>
      </c>
      <c r="I240" s="3" t="s">
        <v>12</v>
      </c>
      <c r="J240" s="57" t="s">
        <v>620</v>
      </c>
    </row>
    <row r="241" spans="1:10" x14ac:dyDescent="0.25">
      <c r="A241" s="2">
        <v>163</v>
      </c>
      <c r="B241" s="24" t="s">
        <v>9</v>
      </c>
      <c r="C241" s="3" t="s">
        <v>621</v>
      </c>
      <c r="E241" s="3" t="s">
        <v>624</v>
      </c>
      <c r="F241" s="11">
        <v>327.5</v>
      </c>
      <c r="G241" s="12">
        <f t="shared" si="3"/>
        <v>327.5</v>
      </c>
      <c r="H241" s="28">
        <v>45826</v>
      </c>
      <c r="I241" s="3" t="s">
        <v>12</v>
      </c>
      <c r="J241" s="57" t="s">
        <v>625</v>
      </c>
    </row>
    <row r="242" spans="1:10" x14ac:dyDescent="0.25">
      <c r="A242" s="2">
        <v>164</v>
      </c>
      <c r="B242" s="3" t="s">
        <v>95</v>
      </c>
      <c r="C242" s="3" t="s">
        <v>628</v>
      </c>
      <c r="D242" s="7"/>
      <c r="E242" s="3" t="s">
        <v>635</v>
      </c>
      <c r="F242" s="11">
        <v>1185</v>
      </c>
      <c r="G242" s="12">
        <f t="shared" si="3"/>
        <v>1185</v>
      </c>
      <c r="H242" s="28">
        <v>45828</v>
      </c>
      <c r="I242" s="3" t="s">
        <v>12</v>
      </c>
      <c r="J242" s="57" t="s">
        <v>636</v>
      </c>
    </row>
    <row r="243" spans="1:10" x14ac:dyDescent="0.25">
      <c r="A243" s="2">
        <v>160</v>
      </c>
      <c r="B243" s="24" t="s">
        <v>9</v>
      </c>
      <c r="C243" s="3" t="s">
        <v>676</v>
      </c>
      <c r="E243" s="3" t="s">
        <v>679</v>
      </c>
      <c r="F243" s="11">
        <v>12840</v>
      </c>
      <c r="G243" s="12">
        <f t="shared" si="3"/>
        <v>12840</v>
      </c>
      <c r="H243" s="28">
        <v>45825</v>
      </c>
      <c r="I243" s="3" t="s">
        <v>12</v>
      </c>
      <c r="J243" s="57" t="s">
        <v>680</v>
      </c>
    </row>
    <row r="244" spans="1:10" x14ac:dyDescent="0.25">
      <c r="A244" s="2">
        <v>165</v>
      </c>
      <c r="B244" s="3" t="s">
        <v>95</v>
      </c>
      <c r="C244" s="3" t="s">
        <v>643</v>
      </c>
      <c r="E244" s="3" t="s">
        <v>646</v>
      </c>
      <c r="F244" s="11">
        <v>1600</v>
      </c>
      <c r="G244" s="12">
        <f t="shared" si="3"/>
        <v>1600</v>
      </c>
      <c r="H244" s="28">
        <v>45828</v>
      </c>
      <c r="I244" s="3" t="s">
        <v>12</v>
      </c>
      <c r="J244" s="57" t="s">
        <v>647</v>
      </c>
    </row>
    <row r="245" spans="1:10" x14ac:dyDescent="0.25">
      <c r="A245" s="2">
        <v>155</v>
      </c>
      <c r="B245" s="24" t="s">
        <v>9</v>
      </c>
      <c r="C245" s="3" t="s">
        <v>823</v>
      </c>
      <c r="D245" s="5">
        <v>45805</v>
      </c>
      <c r="E245" s="3" t="s">
        <v>824</v>
      </c>
      <c r="F245" s="11">
        <v>1200</v>
      </c>
      <c r="G245" s="12">
        <f t="shared" si="3"/>
        <v>1200</v>
      </c>
      <c r="H245" s="28">
        <v>45824</v>
      </c>
      <c r="I245" s="3" t="s">
        <v>12</v>
      </c>
      <c r="J245" s="57" t="s">
        <v>825</v>
      </c>
    </row>
    <row r="246" spans="1:10" x14ac:dyDescent="0.25">
      <c r="A246" s="2">
        <v>170</v>
      </c>
      <c r="B246" s="24" t="s">
        <v>9</v>
      </c>
      <c r="C246" s="3" t="s">
        <v>676</v>
      </c>
      <c r="D246" s="26">
        <v>45805</v>
      </c>
      <c r="E246" s="3" t="s">
        <v>677</v>
      </c>
      <c r="F246" s="11">
        <v>7800</v>
      </c>
      <c r="G246" s="12">
        <f t="shared" si="3"/>
        <v>7800</v>
      </c>
      <c r="H246" s="28">
        <v>45831</v>
      </c>
      <c r="I246" s="3" t="s">
        <v>12</v>
      </c>
      <c r="J246" s="57" t="s">
        <v>678</v>
      </c>
    </row>
    <row r="247" spans="1:10" x14ac:dyDescent="0.25">
      <c r="A247" s="2">
        <v>162</v>
      </c>
      <c r="B247" s="24" t="s">
        <v>9</v>
      </c>
      <c r="C247" s="3" t="s">
        <v>826</v>
      </c>
      <c r="D247" s="5">
        <v>45824</v>
      </c>
      <c r="E247" s="3" t="s">
        <v>827</v>
      </c>
      <c r="F247" s="11">
        <v>2360</v>
      </c>
      <c r="G247" s="12">
        <f t="shared" si="3"/>
        <v>2360</v>
      </c>
      <c r="H247" s="28">
        <v>45826</v>
      </c>
      <c r="I247" s="3" t="s">
        <v>12</v>
      </c>
      <c r="J247" s="57" t="s">
        <v>828</v>
      </c>
    </row>
    <row r="248" spans="1:10" x14ac:dyDescent="0.25">
      <c r="A248" s="2">
        <v>230</v>
      </c>
      <c r="B248" s="24" t="s">
        <v>9</v>
      </c>
      <c r="C248" s="3" t="s">
        <v>829</v>
      </c>
      <c r="D248" s="26">
        <v>45820</v>
      </c>
      <c r="E248" s="3" t="s">
        <v>830</v>
      </c>
      <c r="F248" s="11">
        <v>3060</v>
      </c>
      <c r="G248" s="12">
        <f t="shared" si="3"/>
        <v>3060</v>
      </c>
      <c r="H248" s="28">
        <v>45849</v>
      </c>
      <c r="I248" s="3" t="s">
        <v>12</v>
      </c>
      <c r="J248" s="57" t="s">
        <v>831</v>
      </c>
    </row>
    <row r="249" spans="1:10" x14ac:dyDescent="0.25">
      <c r="A249" s="2">
        <v>167</v>
      </c>
      <c r="B249" s="3" t="s">
        <v>95</v>
      </c>
      <c r="C249" s="3" t="s">
        <v>832</v>
      </c>
      <c r="D249" s="26">
        <v>45818</v>
      </c>
      <c r="E249" s="3" t="s">
        <v>833</v>
      </c>
      <c r="F249" s="11">
        <v>800</v>
      </c>
      <c r="G249" s="12">
        <f t="shared" si="3"/>
        <v>800</v>
      </c>
      <c r="H249" s="28">
        <v>45830</v>
      </c>
      <c r="I249" s="3" t="s">
        <v>12</v>
      </c>
      <c r="J249" s="57" t="s">
        <v>834</v>
      </c>
    </row>
    <row r="250" spans="1:10" x14ac:dyDescent="0.25">
      <c r="A250" s="2">
        <v>166</v>
      </c>
      <c r="B250" s="3" t="s">
        <v>95</v>
      </c>
      <c r="C250" s="3" t="s">
        <v>628</v>
      </c>
      <c r="E250" s="3" t="s">
        <v>631</v>
      </c>
      <c r="F250" s="11">
        <v>2596.1999999999998</v>
      </c>
      <c r="G250" s="12">
        <f t="shared" si="3"/>
        <v>2596.1999999999998</v>
      </c>
      <c r="H250" s="28">
        <v>45828</v>
      </c>
      <c r="I250" s="3" t="s">
        <v>12</v>
      </c>
      <c r="J250" s="57" t="s">
        <v>632</v>
      </c>
    </row>
    <row r="251" spans="1:10" x14ac:dyDescent="0.25">
      <c r="A251" s="2">
        <v>183</v>
      </c>
      <c r="B251" s="3" t="s">
        <v>95</v>
      </c>
      <c r="C251" s="3" t="s">
        <v>628</v>
      </c>
      <c r="E251" s="3" t="s">
        <v>633</v>
      </c>
      <c r="F251" s="11">
        <v>382.5</v>
      </c>
      <c r="G251" s="12">
        <f t="shared" si="3"/>
        <v>382.5</v>
      </c>
      <c r="H251" s="28">
        <v>45833</v>
      </c>
      <c r="I251" s="3" t="s">
        <v>12</v>
      </c>
      <c r="J251" s="57" t="s">
        <v>634</v>
      </c>
    </row>
    <row r="252" spans="1:10" x14ac:dyDescent="0.25">
      <c r="A252" s="2">
        <v>199</v>
      </c>
      <c r="B252" s="3" t="s">
        <v>95</v>
      </c>
      <c r="C252" s="3" t="s">
        <v>628</v>
      </c>
      <c r="D252" s="26">
        <v>45818</v>
      </c>
      <c r="E252" s="3" t="s">
        <v>629</v>
      </c>
      <c r="F252" s="11">
        <v>61.5</v>
      </c>
      <c r="G252" s="12">
        <f t="shared" si="3"/>
        <v>61.5</v>
      </c>
      <c r="H252" s="28">
        <v>45841</v>
      </c>
      <c r="I252" s="3" t="s">
        <v>12</v>
      </c>
      <c r="J252" s="57" t="s">
        <v>630</v>
      </c>
    </row>
    <row r="253" spans="1:10" x14ac:dyDescent="0.25">
      <c r="A253" s="2">
        <v>168</v>
      </c>
      <c r="B253" s="40" t="s">
        <v>95</v>
      </c>
      <c r="C253" s="3" t="s">
        <v>693</v>
      </c>
      <c r="E253" s="3" t="s">
        <v>710</v>
      </c>
      <c r="F253" s="11">
        <v>1000</v>
      </c>
      <c r="G253" s="12">
        <f t="shared" si="3"/>
        <v>1000</v>
      </c>
      <c r="H253" s="28">
        <v>45830</v>
      </c>
      <c r="I253" s="3" t="s">
        <v>12</v>
      </c>
      <c r="J253" s="57" t="s">
        <v>711</v>
      </c>
    </row>
    <row r="254" spans="1:10" x14ac:dyDescent="0.25">
      <c r="A254" s="2">
        <v>169</v>
      </c>
      <c r="B254" s="3" t="s">
        <v>95</v>
      </c>
      <c r="C254" s="3" t="s">
        <v>628</v>
      </c>
      <c r="E254" s="3" t="s">
        <v>641</v>
      </c>
      <c r="F254" s="11">
        <v>900</v>
      </c>
      <c r="G254" s="12">
        <f t="shared" si="3"/>
        <v>900</v>
      </c>
      <c r="H254" s="28">
        <v>45830</v>
      </c>
      <c r="I254" s="3" t="s">
        <v>12</v>
      </c>
      <c r="J254" s="57" t="s">
        <v>642</v>
      </c>
    </row>
    <row r="255" spans="1:10" x14ac:dyDescent="0.25">
      <c r="A255" s="2">
        <v>218</v>
      </c>
      <c r="B255" s="24" t="s">
        <v>9</v>
      </c>
      <c r="C255" s="3" t="s">
        <v>648</v>
      </c>
      <c r="D255" s="26">
        <v>45810</v>
      </c>
      <c r="E255" s="3" t="s">
        <v>649</v>
      </c>
      <c r="F255" s="11">
        <v>2650</v>
      </c>
      <c r="G255" s="12">
        <f t="shared" si="3"/>
        <v>2650</v>
      </c>
      <c r="H255" s="28">
        <v>45847</v>
      </c>
      <c r="I255" s="3" t="s">
        <v>12</v>
      </c>
      <c r="J255" s="57" t="s">
        <v>650</v>
      </c>
    </row>
    <row r="256" spans="1:10" x14ac:dyDescent="0.25">
      <c r="A256" s="2">
        <v>40</v>
      </c>
      <c r="B256" s="24" t="s">
        <v>9</v>
      </c>
      <c r="C256" s="3" t="s">
        <v>835</v>
      </c>
      <c r="D256" s="26">
        <v>45820</v>
      </c>
      <c r="E256" s="63" t="s">
        <v>836</v>
      </c>
      <c r="F256" s="11">
        <v>160</v>
      </c>
      <c r="G256" s="12">
        <f t="shared" si="3"/>
        <v>0</v>
      </c>
      <c r="H256" s="4" t="s">
        <v>33</v>
      </c>
      <c r="I256" s="3" t="s">
        <v>12</v>
      </c>
      <c r="J256" s="57"/>
    </row>
    <row r="257" spans="1:10" x14ac:dyDescent="0.25">
      <c r="A257" s="2">
        <v>189</v>
      </c>
      <c r="B257" s="3" t="s">
        <v>95</v>
      </c>
      <c r="C257" s="3" t="s">
        <v>628</v>
      </c>
      <c r="E257" s="3" t="s">
        <v>639</v>
      </c>
      <c r="F257" s="11">
        <v>1795</v>
      </c>
      <c r="G257" s="12">
        <f t="shared" ref="G257:G320" si="4">IF(J257&gt;0,F257,0)</f>
        <v>1795</v>
      </c>
      <c r="H257" s="28">
        <v>45837</v>
      </c>
      <c r="I257" s="3" t="s">
        <v>12</v>
      </c>
      <c r="J257" s="57" t="s">
        <v>640</v>
      </c>
    </row>
    <row r="258" spans="1:10" x14ac:dyDescent="0.25">
      <c r="A258" s="2">
        <v>175</v>
      </c>
      <c r="B258" s="3" t="s">
        <v>95</v>
      </c>
      <c r="C258" s="3" t="s">
        <v>592</v>
      </c>
      <c r="D258" s="5">
        <v>45827</v>
      </c>
      <c r="E258" s="3" t="s">
        <v>593</v>
      </c>
      <c r="F258" s="11">
        <v>4160</v>
      </c>
      <c r="G258" s="12">
        <f t="shared" si="4"/>
        <v>4160</v>
      </c>
      <c r="H258" s="28">
        <v>45832</v>
      </c>
      <c r="I258" s="3" t="s">
        <v>12</v>
      </c>
      <c r="J258" s="57" t="s">
        <v>594</v>
      </c>
    </row>
    <row r="259" spans="1:10" x14ac:dyDescent="0.25">
      <c r="A259" s="2">
        <v>39</v>
      </c>
      <c r="B259" s="3" t="s">
        <v>95</v>
      </c>
      <c r="C259" s="3" t="s">
        <v>592</v>
      </c>
      <c r="E259" s="63" t="s">
        <v>595</v>
      </c>
      <c r="F259" s="11">
        <v>995</v>
      </c>
      <c r="G259" s="12">
        <f t="shared" si="4"/>
        <v>0</v>
      </c>
      <c r="H259" s="4" t="s">
        <v>33</v>
      </c>
      <c r="I259" s="3" t="s">
        <v>12</v>
      </c>
      <c r="J259" s="57"/>
    </row>
    <row r="260" spans="1:10" x14ac:dyDescent="0.25">
      <c r="A260" s="2">
        <v>200</v>
      </c>
      <c r="B260" s="24" t="s">
        <v>9</v>
      </c>
      <c r="C260" s="3" t="s">
        <v>837</v>
      </c>
      <c r="D260" s="5">
        <v>45824</v>
      </c>
      <c r="E260" s="3" t="s">
        <v>838</v>
      </c>
      <c r="F260" s="11">
        <v>1005</v>
      </c>
      <c r="G260" s="12">
        <f t="shared" si="4"/>
        <v>1005</v>
      </c>
      <c r="H260" s="28">
        <v>45841</v>
      </c>
      <c r="I260" s="3" t="s">
        <v>12</v>
      </c>
      <c r="J260" s="57" t="s">
        <v>839</v>
      </c>
    </row>
    <row r="261" spans="1:10" x14ac:dyDescent="0.25">
      <c r="A261" s="2">
        <v>231</v>
      </c>
      <c r="B261" s="24" t="s">
        <v>9</v>
      </c>
      <c r="C261" s="3" t="s">
        <v>840</v>
      </c>
      <c r="D261" s="26">
        <v>45831</v>
      </c>
      <c r="E261" s="3" t="s">
        <v>841</v>
      </c>
      <c r="F261" s="11">
        <v>410</v>
      </c>
      <c r="G261" s="12">
        <f t="shared" si="4"/>
        <v>410</v>
      </c>
      <c r="H261" s="28">
        <v>45849</v>
      </c>
      <c r="I261" s="3" t="s">
        <v>12</v>
      </c>
      <c r="J261" s="57" t="s">
        <v>842</v>
      </c>
    </row>
    <row r="262" spans="1:10" x14ac:dyDescent="0.25">
      <c r="A262" s="2">
        <v>191</v>
      </c>
      <c r="B262" s="24" t="s">
        <v>9</v>
      </c>
      <c r="C262" s="3" t="s">
        <v>693</v>
      </c>
      <c r="D262" s="7"/>
      <c r="E262" s="3" t="s">
        <v>712</v>
      </c>
      <c r="F262" s="11">
        <v>161</v>
      </c>
      <c r="G262" s="12">
        <f t="shared" si="4"/>
        <v>161</v>
      </c>
      <c r="H262" s="28">
        <v>45838</v>
      </c>
      <c r="I262" s="3" t="s">
        <v>12</v>
      </c>
      <c r="J262" s="57" t="s">
        <v>713</v>
      </c>
    </row>
    <row r="263" spans="1:10" x14ac:dyDescent="0.25">
      <c r="A263" s="2">
        <v>38</v>
      </c>
      <c r="B263" s="24" t="s">
        <v>9</v>
      </c>
      <c r="C263" s="3" t="s">
        <v>693</v>
      </c>
      <c r="D263" s="26">
        <v>45804</v>
      </c>
      <c r="E263" s="41" t="s">
        <v>694</v>
      </c>
      <c r="F263" s="11">
        <v>759</v>
      </c>
      <c r="G263" s="12">
        <f t="shared" si="4"/>
        <v>759</v>
      </c>
      <c r="H263" s="4" t="s">
        <v>1746</v>
      </c>
      <c r="I263" s="3" t="s">
        <v>12</v>
      </c>
      <c r="J263" s="57">
        <v>2590014702</v>
      </c>
    </row>
    <row r="264" spans="1:10" x14ac:dyDescent="0.25">
      <c r="A264" s="2">
        <v>197</v>
      </c>
      <c r="B264" s="24" t="s">
        <v>9</v>
      </c>
      <c r="C264" s="3" t="s">
        <v>601</v>
      </c>
      <c r="E264" s="3" t="s">
        <v>604</v>
      </c>
      <c r="F264" s="11">
        <v>210</v>
      </c>
      <c r="G264" s="12">
        <f t="shared" si="4"/>
        <v>210</v>
      </c>
      <c r="H264" s="28">
        <v>45839</v>
      </c>
      <c r="I264" s="3" t="s">
        <v>12</v>
      </c>
      <c r="J264" s="57" t="s">
        <v>605</v>
      </c>
    </row>
    <row r="265" spans="1:10" x14ac:dyDescent="0.25">
      <c r="A265" s="2">
        <v>198</v>
      </c>
      <c r="B265" s="24" t="s">
        <v>9</v>
      </c>
      <c r="C265" s="3" t="s">
        <v>693</v>
      </c>
      <c r="E265" s="3" t="s">
        <v>697</v>
      </c>
      <c r="F265" s="11">
        <v>280</v>
      </c>
      <c r="G265" s="12">
        <f t="shared" si="4"/>
        <v>280</v>
      </c>
      <c r="H265" s="28">
        <v>45839</v>
      </c>
      <c r="I265" s="3" t="s">
        <v>12</v>
      </c>
      <c r="J265" s="57" t="s">
        <v>698</v>
      </c>
    </row>
    <row r="266" spans="1:10" x14ac:dyDescent="0.25">
      <c r="A266" s="2">
        <v>254</v>
      </c>
      <c r="B266" s="24" t="s">
        <v>9</v>
      </c>
      <c r="C266" s="3" t="s">
        <v>648</v>
      </c>
      <c r="D266" s="7"/>
      <c r="E266" s="3" t="s">
        <v>651</v>
      </c>
      <c r="F266" s="11">
        <v>279</v>
      </c>
      <c r="G266" s="12">
        <f t="shared" si="4"/>
        <v>279</v>
      </c>
      <c r="H266" s="28">
        <v>45856</v>
      </c>
      <c r="I266" s="3" t="s">
        <v>12</v>
      </c>
      <c r="J266" s="57" t="s">
        <v>652</v>
      </c>
    </row>
    <row r="267" spans="1:10" x14ac:dyDescent="0.25">
      <c r="A267" s="2">
        <v>187</v>
      </c>
      <c r="B267" s="3" t="s">
        <v>95</v>
      </c>
      <c r="C267" s="3" t="s">
        <v>843</v>
      </c>
      <c r="D267" s="26">
        <v>45827</v>
      </c>
      <c r="E267" s="3" t="s">
        <v>844</v>
      </c>
      <c r="F267" s="11">
        <v>294</v>
      </c>
      <c r="G267" s="12">
        <f t="shared" si="4"/>
        <v>294</v>
      </c>
      <c r="H267" s="28">
        <v>45837</v>
      </c>
      <c r="I267" s="3" t="s">
        <v>12</v>
      </c>
      <c r="J267" s="57" t="s">
        <v>845</v>
      </c>
    </row>
    <row r="268" spans="1:10" x14ac:dyDescent="0.25">
      <c r="A268" s="2">
        <v>188</v>
      </c>
      <c r="B268" s="24" t="s">
        <v>9</v>
      </c>
      <c r="C268" s="3" t="s">
        <v>573</v>
      </c>
      <c r="D268" s="5">
        <v>45831</v>
      </c>
      <c r="E268" s="3" t="s">
        <v>574</v>
      </c>
      <c r="F268" s="11">
        <v>2203</v>
      </c>
      <c r="G268" s="12">
        <f t="shared" si="4"/>
        <v>2203</v>
      </c>
      <c r="H268" s="28">
        <v>45837</v>
      </c>
      <c r="I268" s="3" t="s">
        <v>12</v>
      </c>
      <c r="J268" s="57" t="s">
        <v>575</v>
      </c>
    </row>
    <row r="269" spans="1:10" x14ac:dyDescent="0.25">
      <c r="A269" s="2">
        <v>196</v>
      </c>
      <c r="B269" s="24" t="s">
        <v>9</v>
      </c>
      <c r="C269" s="3" t="s">
        <v>596</v>
      </c>
      <c r="E269" s="3" t="s">
        <v>599</v>
      </c>
      <c r="F269" s="11">
        <v>337.5</v>
      </c>
      <c r="G269" s="12">
        <f t="shared" si="4"/>
        <v>337.5</v>
      </c>
      <c r="H269" s="28">
        <v>45839</v>
      </c>
      <c r="I269" s="3" t="s">
        <v>12</v>
      </c>
      <c r="J269" s="57" t="s">
        <v>600</v>
      </c>
    </row>
    <row r="270" spans="1:10" x14ac:dyDescent="0.25">
      <c r="A270" s="2">
        <v>185</v>
      </c>
      <c r="B270" s="24" t="s">
        <v>9</v>
      </c>
      <c r="C270" s="3" t="s">
        <v>596</v>
      </c>
      <c r="D270" s="5">
        <v>45827</v>
      </c>
      <c r="E270" s="3" t="s">
        <v>597</v>
      </c>
      <c r="F270" s="11">
        <v>696.75</v>
      </c>
      <c r="G270" s="12">
        <f t="shared" si="4"/>
        <v>696.75</v>
      </c>
      <c r="H270" s="28">
        <v>45834</v>
      </c>
      <c r="I270" s="3" t="s">
        <v>12</v>
      </c>
      <c r="J270" s="57" t="s">
        <v>598</v>
      </c>
    </row>
    <row r="271" spans="1:10" x14ac:dyDescent="0.25">
      <c r="A271" s="2">
        <v>186</v>
      </c>
      <c r="B271" s="3" t="s">
        <v>95</v>
      </c>
      <c r="C271" s="3" t="s">
        <v>566</v>
      </c>
      <c r="E271" s="3" t="s">
        <v>571</v>
      </c>
      <c r="F271" s="11">
        <v>800</v>
      </c>
      <c r="G271" s="12">
        <f t="shared" si="4"/>
        <v>800</v>
      </c>
      <c r="H271" s="28">
        <v>45834</v>
      </c>
      <c r="I271" s="3" t="s">
        <v>12</v>
      </c>
      <c r="J271" s="57" t="s">
        <v>572</v>
      </c>
    </row>
    <row r="272" spans="1:10" x14ac:dyDescent="0.25">
      <c r="A272" s="2">
        <v>192</v>
      </c>
      <c r="B272" s="24" t="s">
        <v>9</v>
      </c>
      <c r="C272" s="3" t="s">
        <v>846</v>
      </c>
      <c r="D272" s="5">
        <v>45826</v>
      </c>
      <c r="E272" s="3" t="s">
        <v>847</v>
      </c>
      <c r="F272" s="11">
        <v>440.8</v>
      </c>
      <c r="G272" s="12">
        <f t="shared" si="4"/>
        <v>440.8</v>
      </c>
      <c r="H272" s="28">
        <v>45839</v>
      </c>
      <c r="I272" s="3" t="s">
        <v>12</v>
      </c>
      <c r="J272" s="57" t="s">
        <v>848</v>
      </c>
    </row>
    <row r="273" spans="1:10" x14ac:dyDescent="0.25">
      <c r="A273" s="2">
        <v>325</v>
      </c>
      <c r="B273" s="3" t="s">
        <v>95</v>
      </c>
      <c r="C273" s="3" t="s">
        <v>566</v>
      </c>
      <c r="E273" s="3" t="s">
        <v>569</v>
      </c>
      <c r="F273" s="11">
        <v>207</v>
      </c>
      <c r="G273" s="12">
        <f t="shared" si="4"/>
        <v>207</v>
      </c>
      <c r="H273" s="28">
        <v>45875</v>
      </c>
      <c r="I273" s="3" t="s">
        <v>12</v>
      </c>
      <c r="J273" s="57" t="s">
        <v>570</v>
      </c>
    </row>
    <row r="274" spans="1:10" x14ac:dyDescent="0.25">
      <c r="A274" s="2">
        <v>37</v>
      </c>
      <c r="B274" s="24" t="s">
        <v>9</v>
      </c>
      <c r="C274" s="3" t="s">
        <v>606</v>
      </c>
      <c r="D274" s="26">
        <v>45826</v>
      </c>
      <c r="E274" s="63" t="s">
        <v>607</v>
      </c>
      <c r="F274" s="11">
        <v>100</v>
      </c>
      <c r="G274" s="12">
        <f t="shared" si="4"/>
        <v>0</v>
      </c>
      <c r="H274" s="4" t="s">
        <v>33</v>
      </c>
      <c r="I274" s="3" t="s">
        <v>12</v>
      </c>
      <c r="J274" s="57"/>
    </row>
    <row r="275" spans="1:10" x14ac:dyDescent="0.25">
      <c r="A275" s="2">
        <v>216</v>
      </c>
      <c r="B275" s="24" t="s">
        <v>9</v>
      </c>
      <c r="C275" s="3" t="s">
        <v>612</v>
      </c>
      <c r="D275" s="7"/>
      <c r="E275" s="3" t="s">
        <v>615</v>
      </c>
      <c r="F275" s="11">
        <v>1990</v>
      </c>
      <c r="G275" s="12">
        <f t="shared" si="4"/>
        <v>1990</v>
      </c>
      <c r="H275" s="28">
        <v>45844</v>
      </c>
      <c r="I275" s="3" t="s">
        <v>12</v>
      </c>
      <c r="J275" s="57" t="s">
        <v>616</v>
      </c>
    </row>
    <row r="276" spans="1:10" x14ac:dyDescent="0.25">
      <c r="A276" s="2">
        <v>201</v>
      </c>
      <c r="B276" s="24" t="s">
        <v>9</v>
      </c>
      <c r="C276" s="3" t="s">
        <v>612</v>
      </c>
      <c r="D276" s="26">
        <v>45826</v>
      </c>
      <c r="E276" s="3" t="s">
        <v>613</v>
      </c>
      <c r="F276" s="11">
        <v>1000</v>
      </c>
      <c r="G276" s="12">
        <f t="shared" si="4"/>
        <v>1000</v>
      </c>
      <c r="H276" s="28">
        <v>45841</v>
      </c>
      <c r="I276" s="3" t="s">
        <v>12</v>
      </c>
      <c r="J276" s="57" t="s">
        <v>614</v>
      </c>
    </row>
    <row r="277" spans="1:10" x14ac:dyDescent="0.25">
      <c r="A277" s="2">
        <v>194</v>
      </c>
      <c r="B277" s="24" t="s">
        <v>9</v>
      </c>
      <c r="C277" s="3" t="s">
        <v>693</v>
      </c>
      <c r="E277" s="3" t="s">
        <v>695</v>
      </c>
      <c r="F277" s="11">
        <v>90</v>
      </c>
      <c r="G277" s="12">
        <f t="shared" si="4"/>
        <v>90</v>
      </c>
      <c r="H277" s="28">
        <v>45839</v>
      </c>
      <c r="I277" s="3" t="s">
        <v>12</v>
      </c>
      <c r="J277" s="57" t="s">
        <v>696</v>
      </c>
    </row>
    <row r="278" spans="1:10" x14ac:dyDescent="0.25">
      <c r="A278" s="2">
        <v>195</v>
      </c>
      <c r="B278" s="24" t="s">
        <v>9</v>
      </c>
      <c r="C278" s="3" t="s">
        <v>693</v>
      </c>
      <c r="E278" s="3" t="s">
        <v>703</v>
      </c>
      <c r="F278" s="11">
        <v>350</v>
      </c>
      <c r="G278" s="12">
        <f t="shared" si="4"/>
        <v>350</v>
      </c>
      <c r="H278" s="28">
        <v>45839</v>
      </c>
      <c r="I278" s="3" t="s">
        <v>12</v>
      </c>
      <c r="J278" s="57" t="s">
        <v>704</v>
      </c>
    </row>
    <row r="279" spans="1:10" x14ac:dyDescent="0.25">
      <c r="A279" s="2">
        <v>206</v>
      </c>
      <c r="B279" s="3" t="s">
        <v>95</v>
      </c>
      <c r="C279" s="3" t="s">
        <v>552</v>
      </c>
      <c r="D279" s="7"/>
      <c r="E279" s="3" t="s">
        <v>555</v>
      </c>
      <c r="F279" s="11">
        <v>168.75</v>
      </c>
      <c r="G279" s="12">
        <f t="shared" si="4"/>
        <v>168.75</v>
      </c>
      <c r="H279" s="28">
        <v>45841</v>
      </c>
      <c r="I279" s="3" t="s">
        <v>12</v>
      </c>
      <c r="J279" s="57" t="s">
        <v>556</v>
      </c>
    </row>
    <row r="280" spans="1:10" x14ac:dyDescent="0.25">
      <c r="A280" s="2">
        <v>326</v>
      </c>
      <c r="B280" s="3" t="s">
        <v>95</v>
      </c>
      <c r="C280" s="3" t="s">
        <v>559</v>
      </c>
      <c r="D280" s="7"/>
      <c r="E280" s="3" t="s">
        <v>562</v>
      </c>
      <c r="F280" s="11">
        <v>92</v>
      </c>
      <c r="G280" s="12">
        <f t="shared" si="4"/>
        <v>92</v>
      </c>
      <c r="H280" s="28">
        <v>45875</v>
      </c>
      <c r="I280" s="3" t="s">
        <v>12</v>
      </c>
      <c r="J280" s="57" t="s">
        <v>563</v>
      </c>
    </row>
    <row r="281" spans="1:10" x14ac:dyDescent="0.25">
      <c r="A281" s="2">
        <v>229</v>
      </c>
      <c r="B281" s="3" t="s">
        <v>95</v>
      </c>
      <c r="C281" s="3" t="s">
        <v>552</v>
      </c>
      <c r="D281" s="7"/>
      <c r="E281" s="3" t="s">
        <v>557</v>
      </c>
      <c r="F281" s="11">
        <v>400</v>
      </c>
      <c r="G281" s="12">
        <f t="shared" si="4"/>
        <v>400</v>
      </c>
      <c r="H281" s="28">
        <v>45848</v>
      </c>
      <c r="I281" s="3" t="s">
        <v>12</v>
      </c>
      <c r="J281" s="57" t="s">
        <v>558</v>
      </c>
    </row>
    <row r="282" spans="1:10" x14ac:dyDescent="0.25">
      <c r="A282" s="2">
        <v>205</v>
      </c>
      <c r="B282" s="3" t="s">
        <v>95</v>
      </c>
      <c r="C282" s="3" t="s">
        <v>559</v>
      </c>
      <c r="D282" s="7"/>
      <c r="E282" s="3" t="s">
        <v>564</v>
      </c>
      <c r="F282" s="11">
        <v>800</v>
      </c>
      <c r="G282" s="12">
        <f t="shared" si="4"/>
        <v>800</v>
      </c>
      <c r="H282" s="28">
        <v>45841</v>
      </c>
      <c r="I282" s="3" t="s">
        <v>12</v>
      </c>
      <c r="J282" s="57" t="s">
        <v>565</v>
      </c>
    </row>
    <row r="283" spans="1:10" x14ac:dyDescent="0.25">
      <c r="A283" s="2">
        <v>258</v>
      </c>
      <c r="B283" s="3" t="s">
        <v>95</v>
      </c>
      <c r="C283" s="3" t="s">
        <v>849</v>
      </c>
      <c r="D283" s="5">
        <v>45833</v>
      </c>
      <c r="E283" s="3" t="s">
        <v>850</v>
      </c>
      <c r="F283" s="11">
        <v>2725</v>
      </c>
      <c r="G283" s="12">
        <f t="shared" si="4"/>
        <v>2725</v>
      </c>
      <c r="H283" s="28">
        <v>45860</v>
      </c>
      <c r="I283" s="3" t="s">
        <v>12</v>
      </c>
      <c r="J283" s="57" t="s">
        <v>851</v>
      </c>
    </row>
    <row r="284" spans="1:10" x14ac:dyDescent="0.25">
      <c r="A284" s="2">
        <v>245</v>
      </c>
      <c r="B284" s="24" t="s">
        <v>9</v>
      </c>
      <c r="C284" s="3" t="s">
        <v>852</v>
      </c>
      <c r="D284" s="5">
        <v>45827</v>
      </c>
      <c r="E284" s="3" t="s">
        <v>853</v>
      </c>
      <c r="F284" s="11">
        <v>13175</v>
      </c>
      <c r="G284" s="12">
        <f t="shared" si="4"/>
        <v>13175</v>
      </c>
      <c r="H284" s="28">
        <v>45855</v>
      </c>
      <c r="I284" s="3" t="s">
        <v>12</v>
      </c>
      <c r="J284" s="57" t="s">
        <v>854</v>
      </c>
    </row>
    <row r="285" spans="1:10" x14ac:dyDescent="0.25">
      <c r="A285" s="2">
        <v>202</v>
      </c>
      <c r="B285" s="24" t="s">
        <v>9</v>
      </c>
      <c r="C285" s="3" t="s">
        <v>578</v>
      </c>
      <c r="D285" s="5">
        <v>45831</v>
      </c>
      <c r="E285" s="3" t="s">
        <v>579</v>
      </c>
      <c r="F285" s="11">
        <v>605</v>
      </c>
      <c r="G285" s="12">
        <f t="shared" si="4"/>
        <v>605</v>
      </c>
      <c r="H285" s="28">
        <v>45841</v>
      </c>
      <c r="I285" s="3" t="s">
        <v>12</v>
      </c>
      <c r="J285" s="57" t="s">
        <v>580</v>
      </c>
    </row>
    <row r="286" spans="1:10" x14ac:dyDescent="0.25">
      <c r="A286" s="2">
        <v>215</v>
      </c>
      <c r="B286" s="24" t="s">
        <v>9</v>
      </c>
      <c r="C286" s="3" t="s">
        <v>573</v>
      </c>
      <c r="D286" s="7"/>
      <c r="E286" s="3" t="s">
        <v>576</v>
      </c>
      <c r="F286" s="11">
        <v>460</v>
      </c>
      <c r="G286" s="12">
        <f t="shared" si="4"/>
        <v>460</v>
      </c>
      <c r="H286" s="28">
        <v>45844</v>
      </c>
      <c r="I286" s="3" t="s">
        <v>12</v>
      </c>
      <c r="J286" s="57" t="s">
        <v>577</v>
      </c>
    </row>
    <row r="287" spans="1:10" x14ac:dyDescent="0.25">
      <c r="A287" s="2">
        <v>212</v>
      </c>
      <c r="B287" s="24" t="s">
        <v>9</v>
      </c>
      <c r="C287" s="3" t="s">
        <v>855</v>
      </c>
      <c r="D287" s="5">
        <v>45830</v>
      </c>
      <c r="E287" s="3" t="s">
        <v>856</v>
      </c>
      <c r="F287" s="11">
        <v>3200</v>
      </c>
      <c r="G287" s="12">
        <f t="shared" si="4"/>
        <v>3200</v>
      </c>
      <c r="H287" s="28">
        <v>45844</v>
      </c>
      <c r="I287" s="3" t="s">
        <v>12</v>
      </c>
      <c r="J287" s="57" t="s">
        <v>857</v>
      </c>
    </row>
    <row r="288" spans="1:10" x14ac:dyDescent="0.25">
      <c r="A288" s="2">
        <v>219</v>
      </c>
      <c r="B288" s="3" t="s">
        <v>95</v>
      </c>
      <c r="C288" s="3" t="s">
        <v>858</v>
      </c>
      <c r="D288" s="5">
        <v>45838</v>
      </c>
      <c r="E288" s="3" t="s">
        <v>859</v>
      </c>
      <c r="F288" s="11">
        <v>49050</v>
      </c>
      <c r="G288" s="12">
        <f t="shared" si="4"/>
        <v>49050</v>
      </c>
      <c r="H288" s="28">
        <v>45847</v>
      </c>
      <c r="I288" s="3" t="s">
        <v>12</v>
      </c>
      <c r="J288" s="57" t="s">
        <v>860</v>
      </c>
    </row>
    <row r="289" spans="1:10" x14ac:dyDescent="0.25">
      <c r="A289" s="2">
        <v>214</v>
      </c>
      <c r="B289" s="24" t="s">
        <v>9</v>
      </c>
      <c r="C289" s="3" t="s">
        <v>861</v>
      </c>
      <c r="D289" s="5">
        <v>45838</v>
      </c>
      <c r="E289" s="3" t="s">
        <v>862</v>
      </c>
      <c r="F289" s="11">
        <v>190</v>
      </c>
      <c r="G289" s="12">
        <f t="shared" si="4"/>
        <v>190</v>
      </c>
      <c r="H289" s="28">
        <v>45844</v>
      </c>
      <c r="I289" s="3" t="s">
        <v>12</v>
      </c>
      <c r="J289" s="57" t="s">
        <v>863</v>
      </c>
    </row>
    <row r="290" spans="1:10" x14ac:dyDescent="0.25">
      <c r="A290" s="2">
        <v>213</v>
      </c>
      <c r="B290" s="3" t="s">
        <v>95</v>
      </c>
      <c r="C290" s="3" t="s">
        <v>552</v>
      </c>
      <c r="D290" s="5">
        <v>45833</v>
      </c>
      <c r="E290" s="3" t="s">
        <v>553</v>
      </c>
      <c r="F290" s="11">
        <v>168.75</v>
      </c>
      <c r="G290" s="12">
        <f t="shared" si="4"/>
        <v>168.75</v>
      </c>
      <c r="H290" s="28">
        <v>45844</v>
      </c>
      <c r="I290" s="3" t="s">
        <v>12</v>
      </c>
      <c r="J290" s="57" t="s">
        <v>554</v>
      </c>
    </row>
    <row r="291" spans="1:10" x14ac:dyDescent="0.25">
      <c r="A291" s="2">
        <v>211</v>
      </c>
      <c r="B291" s="24" t="s">
        <v>9</v>
      </c>
      <c r="C291" s="3" t="s">
        <v>606</v>
      </c>
      <c r="D291" s="7"/>
      <c r="E291" s="3" t="s">
        <v>610</v>
      </c>
      <c r="F291" s="11">
        <v>120</v>
      </c>
      <c r="G291" s="12">
        <f t="shared" si="4"/>
        <v>120</v>
      </c>
      <c r="H291" s="28">
        <v>45842</v>
      </c>
      <c r="I291" s="3" t="s">
        <v>12</v>
      </c>
      <c r="J291" s="57" t="s">
        <v>611</v>
      </c>
    </row>
    <row r="292" spans="1:10" x14ac:dyDescent="0.25">
      <c r="A292" s="2">
        <v>208</v>
      </c>
      <c r="B292" s="24" t="s">
        <v>9</v>
      </c>
      <c r="C292" s="3" t="s">
        <v>583</v>
      </c>
      <c r="D292" s="5">
        <v>45830</v>
      </c>
      <c r="E292" s="3" t="s">
        <v>584</v>
      </c>
      <c r="F292" s="11">
        <v>277.5</v>
      </c>
      <c r="G292" s="12">
        <f t="shared" si="4"/>
        <v>277.5</v>
      </c>
      <c r="H292" s="28">
        <v>45842</v>
      </c>
      <c r="I292" s="3" t="s">
        <v>12</v>
      </c>
      <c r="J292" s="57" t="s">
        <v>585</v>
      </c>
    </row>
    <row r="293" spans="1:10" x14ac:dyDescent="0.25">
      <c r="A293" s="2">
        <v>290</v>
      </c>
      <c r="B293" s="3" t="s">
        <v>95</v>
      </c>
      <c r="C293" s="3" t="s">
        <v>864</v>
      </c>
      <c r="D293" s="5">
        <v>45826</v>
      </c>
      <c r="E293" s="3" t="s">
        <v>865</v>
      </c>
      <c r="F293" s="11">
        <v>41880</v>
      </c>
      <c r="G293" s="12">
        <f t="shared" si="4"/>
        <v>41880</v>
      </c>
      <c r="H293" s="28">
        <v>45867</v>
      </c>
      <c r="I293" s="3" t="s">
        <v>12</v>
      </c>
      <c r="J293" s="57" t="s">
        <v>866</v>
      </c>
    </row>
    <row r="294" spans="1:10" x14ac:dyDescent="0.25">
      <c r="A294" s="2">
        <v>209</v>
      </c>
      <c r="B294" s="24" t="s">
        <v>9</v>
      </c>
      <c r="C294" s="3" t="s">
        <v>606</v>
      </c>
      <c r="D294" s="7"/>
      <c r="E294" s="3" t="s">
        <v>608</v>
      </c>
      <c r="F294" s="11">
        <v>330</v>
      </c>
      <c r="G294" s="12">
        <f t="shared" si="4"/>
        <v>330</v>
      </c>
      <c r="H294" s="28">
        <v>45842</v>
      </c>
      <c r="I294" s="3" t="s">
        <v>12</v>
      </c>
      <c r="J294" s="57" t="s">
        <v>609</v>
      </c>
    </row>
    <row r="295" spans="1:10" x14ac:dyDescent="0.25">
      <c r="A295" s="2">
        <v>210</v>
      </c>
      <c r="B295" s="24" t="s">
        <v>9</v>
      </c>
      <c r="C295" s="3" t="s">
        <v>583</v>
      </c>
      <c r="D295" s="7"/>
      <c r="E295" s="3" t="s">
        <v>588</v>
      </c>
      <c r="F295" s="11">
        <v>820</v>
      </c>
      <c r="G295" s="12">
        <f t="shared" si="4"/>
        <v>820</v>
      </c>
      <c r="H295" s="28">
        <v>45842</v>
      </c>
      <c r="I295" s="3" t="s">
        <v>12</v>
      </c>
      <c r="J295" s="57" t="s">
        <v>589</v>
      </c>
    </row>
    <row r="296" spans="1:10" x14ac:dyDescent="0.25">
      <c r="A296" s="2">
        <v>217</v>
      </c>
      <c r="B296" s="24" t="s">
        <v>9</v>
      </c>
      <c r="C296" s="3" t="s">
        <v>583</v>
      </c>
      <c r="D296" s="7"/>
      <c r="E296" s="3" t="s">
        <v>590</v>
      </c>
      <c r="F296" s="11">
        <v>120</v>
      </c>
      <c r="G296" s="12">
        <f t="shared" si="4"/>
        <v>120</v>
      </c>
      <c r="H296" s="28">
        <v>45844</v>
      </c>
      <c r="I296" s="3" t="s">
        <v>12</v>
      </c>
      <c r="J296" s="57" t="s">
        <v>591</v>
      </c>
    </row>
    <row r="297" spans="1:10" x14ac:dyDescent="0.25">
      <c r="A297" s="2">
        <v>278</v>
      </c>
      <c r="B297" s="24" t="s">
        <v>9</v>
      </c>
      <c r="C297" s="3" t="s">
        <v>601</v>
      </c>
      <c r="D297" s="5">
        <v>45826</v>
      </c>
      <c r="E297" s="3" t="s">
        <v>602</v>
      </c>
      <c r="F297" s="11">
        <v>560</v>
      </c>
      <c r="G297" s="12">
        <f t="shared" si="4"/>
        <v>560</v>
      </c>
      <c r="H297" s="28">
        <v>45863</v>
      </c>
      <c r="I297" s="3" t="s">
        <v>12</v>
      </c>
      <c r="J297" s="57" t="s">
        <v>603</v>
      </c>
    </row>
    <row r="298" spans="1:10" x14ac:dyDescent="0.25">
      <c r="A298" s="2">
        <v>239</v>
      </c>
      <c r="B298" s="24" t="s">
        <v>9</v>
      </c>
      <c r="C298" s="3" t="s">
        <v>867</v>
      </c>
      <c r="D298" s="5">
        <v>45838</v>
      </c>
      <c r="E298" s="3" t="s">
        <v>868</v>
      </c>
      <c r="F298" s="11">
        <v>7450</v>
      </c>
      <c r="G298" s="12">
        <f t="shared" si="4"/>
        <v>7450</v>
      </c>
      <c r="H298" s="28">
        <v>45852</v>
      </c>
      <c r="I298" s="3" t="s">
        <v>12</v>
      </c>
      <c r="J298" s="57" t="s">
        <v>869</v>
      </c>
    </row>
    <row r="299" spans="1:10" x14ac:dyDescent="0.25">
      <c r="A299" s="2">
        <v>234</v>
      </c>
      <c r="B299" s="24" t="s">
        <v>9</v>
      </c>
      <c r="C299" s="3" t="s">
        <v>870</v>
      </c>
      <c r="D299" s="5">
        <v>45834</v>
      </c>
      <c r="E299" s="3" t="s">
        <v>871</v>
      </c>
      <c r="F299" s="11">
        <v>585</v>
      </c>
      <c r="G299" s="12">
        <f t="shared" si="4"/>
        <v>585</v>
      </c>
      <c r="H299" s="28">
        <v>45851</v>
      </c>
      <c r="I299" s="3" t="s">
        <v>12</v>
      </c>
      <c r="J299" s="57" t="s">
        <v>872</v>
      </c>
    </row>
    <row r="300" spans="1:10" x14ac:dyDescent="0.25">
      <c r="A300" s="2">
        <v>223</v>
      </c>
      <c r="B300" s="3" t="s">
        <v>95</v>
      </c>
      <c r="C300" s="3" t="s">
        <v>566</v>
      </c>
      <c r="D300" s="5">
        <v>45833</v>
      </c>
      <c r="E300" s="3" t="s">
        <v>567</v>
      </c>
      <c r="F300" s="11">
        <v>337.5</v>
      </c>
      <c r="G300" s="12">
        <f t="shared" si="4"/>
        <v>337.5</v>
      </c>
      <c r="H300" s="28">
        <v>45848</v>
      </c>
      <c r="I300" s="3" t="s">
        <v>12</v>
      </c>
      <c r="J300" s="57" t="s">
        <v>568</v>
      </c>
    </row>
    <row r="301" spans="1:10" x14ac:dyDescent="0.25">
      <c r="A301" s="2">
        <v>324</v>
      </c>
      <c r="B301" s="3" t="s">
        <v>95</v>
      </c>
      <c r="C301" s="3" t="s">
        <v>559</v>
      </c>
      <c r="D301" s="5">
        <v>45833</v>
      </c>
      <c r="E301" s="3" t="s">
        <v>560</v>
      </c>
      <c r="F301" s="11">
        <v>150</v>
      </c>
      <c r="G301" s="12">
        <f t="shared" si="4"/>
        <v>150</v>
      </c>
      <c r="H301" s="28">
        <v>45875</v>
      </c>
      <c r="I301" s="3" t="s">
        <v>12</v>
      </c>
      <c r="J301" s="57" t="s">
        <v>561</v>
      </c>
    </row>
    <row r="302" spans="1:10" x14ac:dyDescent="0.25">
      <c r="A302" s="2">
        <v>253</v>
      </c>
      <c r="B302" s="24" t="s">
        <v>9</v>
      </c>
      <c r="C302" s="3" t="s">
        <v>545</v>
      </c>
      <c r="D302" s="7"/>
      <c r="E302" s="3" t="s">
        <v>548</v>
      </c>
      <c r="F302" s="11">
        <v>4500</v>
      </c>
      <c r="G302" s="12">
        <f t="shared" si="4"/>
        <v>4500</v>
      </c>
      <c r="H302" s="28">
        <v>45856</v>
      </c>
      <c r="I302" s="3" t="s">
        <v>12</v>
      </c>
      <c r="J302" s="57" t="s">
        <v>549</v>
      </c>
    </row>
    <row r="303" spans="1:10" x14ac:dyDescent="0.25">
      <c r="A303" s="2">
        <v>220</v>
      </c>
      <c r="B303" s="24" t="s">
        <v>9</v>
      </c>
      <c r="C303" s="3" t="s">
        <v>545</v>
      </c>
      <c r="D303" s="5">
        <v>45845</v>
      </c>
      <c r="E303" s="3" t="s">
        <v>546</v>
      </c>
      <c r="F303" s="11">
        <v>240</v>
      </c>
      <c r="G303" s="12">
        <f t="shared" si="4"/>
        <v>240</v>
      </c>
      <c r="H303" s="29">
        <v>45847</v>
      </c>
      <c r="I303" s="3" t="s">
        <v>12</v>
      </c>
      <c r="J303" s="57" t="s">
        <v>547</v>
      </c>
    </row>
    <row r="304" spans="1:10" x14ac:dyDescent="0.25">
      <c r="A304" s="2">
        <v>259</v>
      </c>
      <c r="B304" s="3" t="s">
        <v>95</v>
      </c>
      <c r="C304" s="3" t="s">
        <v>873</v>
      </c>
      <c r="D304" s="5">
        <v>45845</v>
      </c>
      <c r="E304" s="3" t="s">
        <v>874</v>
      </c>
      <c r="F304" s="11">
        <v>37650</v>
      </c>
      <c r="G304" s="12">
        <f t="shared" si="4"/>
        <v>37650</v>
      </c>
      <c r="H304" s="28">
        <v>45860</v>
      </c>
      <c r="I304" s="3" t="s">
        <v>12</v>
      </c>
      <c r="J304" s="57" t="s">
        <v>875</v>
      </c>
    </row>
    <row r="305" spans="1:10" x14ac:dyDescent="0.25">
      <c r="A305" s="2">
        <v>260</v>
      </c>
      <c r="B305" s="3" t="s">
        <v>95</v>
      </c>
      <c r="C305" s="3" t="s">
        <v>876</v>
      </c>
      <c r="D305" s="5">
        <v>45845</v>
      </c>
      <c r="E305" s="3" t="s">
        <v>877</v>
      </c>
      <c r="F305" s="11">
        <v>5060</v>
      </c>
      <c r="G305" s="12">
        <f t="shared" si="4"/>
        <v>5060</v>
      </c>
      <c r="H305" s="28">
        <v>45860</v>
      </c>
      <c r="I305" s="3" t="s">
        <v>12</v>
      </c>
      <c r="J305" s="57" t="s">
        <v>878</v>
      </c>
    </row>
    <row r="306" spans="1:10" x14ac:dyDescent="0.25">
      <c r="A306" s="2">
        <v>291</v>
      </c>
      <c r="B306" s="3" t="s">
        <v>95</v>
      </c>
      <c r="C306" s="3" t="s">
        <v>879</v>
      </c>
      <c r="D306" s="5">
        <v>45845</v>
      </c>
      <c r="E306" s="3" t="s">
        <v>880</v>
      </c>
      <c r="F306" s="11">
        <v>20940</v>
      </c>
      <c r="G306" s="12">
        <f t="shared" si="4"/>
        <v>20940</v>
      </c>
      <c r="H306" s="28">
        <v>45867</v>
      </c>
      <c r="I306" s="3" t="s">
        <v>12</v>
      </c>
      <c r="J306" s="57" t="s">
        <v>881</v>
      </c>
    </row>
    <row r="307" spans="1:10" x14ac:dyDescent="0.25">
      <c r="A307" s="2">
        <v>235</v>
      </c>
      <c r="B307" s="24" t="s">
        <v>9</v>
      </c>
      <c r="C307" s="3" t="s">
        <v>882</v>
      </c>
      <c r="D307" s="5">
        <v>45847</v>
      </c>
      <c r="E307" s="3" t="s">
        <v>883</v>
      </c>
      <c r="F307" s="11">
        <v>340</v>
      </c>
      <c r="G307" s="12">
        <f t="shared" si="4"/>
        <v>340</v>
      </c>
      <c r="H307" s="28">
        <v>45851</v>
      </c>
      <c r="I307" s="3" t="s">
        <v>12</v>
      </c>
      <c r="J307" s="57" t="s">
        <v>884</v>
      </c>
    </row>
    <row r="308" spans="1:10" x14ac:dyDescent="0.25">
      <c r="A308" s="2">
        <v>36</v>
      </c>
      <c r="B308" s="24" t="s">
        <v>9</v>
      </c>
      <c r="C308" s="3" t="s">
        <v>885</v>
      </c>
      <c r="D308" s="5">
        <v>45834</v>
      </c>
      <c r="E308" s="63" t="s">
        <v>886</v>
      </c>
      <c r="F308" s="11">
        <v>1200</v>
      </c>
      <c r="G308" s="12">
        <f t="shared" si="4"/>
        <v>0</v>
      </c>
      <c r="H308" s="4" t="s">
        <v>33</v>
      </c>
      <c r="I308" s="3" t="s">
        <v>12</v>
      </c>
      <c r="J308" s="57"/>
    </row>
    <row r="309" spans="1:10" x14ac:dyDescent="0.25">
      <c r="A309" s="2">
        <v>280</v>
      </c>
      <c r="B309" s="24" t="s">
        <v>9</v>
      </c>
      <c r="C309" s="3" t="s">
        <v>887</v>
      </c>
      <c r="D309" s="5">
        <v>45841</v>
      </c>
      <c r="E309" s="3" t="s">
        <v>888</v>
      </c>
      <c r="F309" s="11">
        <v>330</v>
      </c>
      <c r="G309" s="12">
        <f t="shared" si="4"/>
        <v>330</v>
      </c>
      <c r="H309" s="28">
        <v>45864</v>
      </c>
      <c r="I309" s="3" t="s">
        <v>12</v>
      </c>
      <c r="J309" s="57" t="s">
        <v>889</v>
      </c>
    </row>
    <row r="310" spans="1:10" x14ac:dyDescent="0.25">
      <c r="A310" s="2">
        <v>35</v>
      </c>
      <c r="B310" s="24" t="s">
        <v>9</v>
      </c>
      <c r="C310" s="3" t="s">
        <v>890</v>
      </c>
      <c r="D310" s="5">
        <v>45834</v>
      </c>
      <c r="E310" s="63" t="s">
        <v>891</v>
      </c>
      <c r="F310" s="11">
        <v>441</v>
      </c>
      <c r="G310" s="12">
        <f t="shared" si="4"/>
        <v>0</v>
      </c>
      <c r="H310" s="4" t="s">
        <v>33</v>
      </c>
      <c r="I310" s="3" t="s">
        <v>12</v>
      </c>
      <c r="J310" s="57"/>
    </row>
    <row r="311" spans="1:10" x14ac:dyDescent="0.25">
      <c r="A311" s="2">
        <v>312</v>
      </c>
      <c r="B311" s="3" t="s">
        <v>95</v>
      </c>
      <c r="C311" s="3" t="s">
        <v>892</v>
      </c>
      <c r="D311" s="5">
        <v>45847</v>
      </c>
      <c r="E311" s="3" t="s">
        <v>893</v>
      </c>
      <c r="F311" s="11">
        <v>1260</v>
      </c>
      <c r="G311" s="12">
        <f t="shared" si="4"/>
        <v>1260</v>
      </c>
      <c r="H311" s="28">
        <v>45873</v>
      </c>
      <c r="I311" s="3" t="s">
        <v>12</v>
      </c>
      <c r="J311" s="57" t="s">
        <v>894</v>
      </c>
    </row>
    <row r="312" spans="1:10" x14ac:dyDescent="0.25">
      <c r="A312" s="2">
        <v>34</v>
      </c>
      <c r="B312" s="24" t="s">
        <v>9</v>
      </c>
      <c r="C312" s="3" t="s">
        <v>895</v>
      </c>
      <c r="D312" s="5">
        <v>45838</v>
      </c>
      <c r="E312" s="63" t="s">
        <v>896</v>
      </c>
      <c r="F312" s="11">
        <v>1225.78</v>
      </c>
      <c r="G312" s="12">
        <f t="shared" si="4"/>
        <v>0</v>
      </c>
      <c r="H312" s="4" t="s">
        <v>33</v>
      </c>
      <c r="I312" s="3" t="s">
        <v>12</v>
      </c>
      <c r="J312" s="57"/>
    </row>
    <row r="313" spans="1:10" x14ac:dyDescent="0.25">
      <c r="A313" s="2">
        <v>236</v>
      </c>
      <c r="B313" s="24" t="s">
        <v>9</v>
      </c>
      <c r="C313" s="3" t="s">
        <v>540</v>
      </c>
      <c r="D313" s="5">
        <v>45847</v>
      </c>
      <c r="E313" s="3" t="s">
        <v>541</v>
      </c>
      <c r="F313" s="11">
        <v>825</v>
      </c>
      <c r="G313" s="12">
        <f t="shared" si="4"/>
        <v>825</v>
      </c>
      <c r="H313" s="28">
        <v>45851</v>
      </c>
      <c r="I313" s="3" t="s">
        <v>12</v>
      </c>
      <c r="J313" s="57" t="s">
        <v>542</v>
      </c>
    </row>
    <row r="314" spans="1:10" x14ac:dyDescent="0.25">
      <c r="A314" s="2">
        <v>238</v>
      </c>
      <c r="B314" s="24" t="s">
        <v>9</v>
      </c>
      <c r="C314" s="3" t="s">
        <v>540</v>
      </c>
      <c r="D314" s="7"/>
      <c r="E314" s="3" t="s">
        <v>543</v>
      </c>
      <c r="F314" s="11">
        <v>720</v>
      </c>
      <c r="G314" s="12">
        <f t="shared" si="4"/>
        <v>720</v>
      </c>
      <c r="H314" s="28">
        <v>45851</v>
      </c>
      <c r="I314" s="3" t="s">
        <v>12</v>
      </c>
      <c r="J314" s="57" t="s">
        <v>544</v>
      </c>
    </row>
    <row r="315" spans="1:10" x14ac:dyDescent="0.25">
      <c r="A315" s="2">
        <v>390</v>
      </c>
      <c r="B315" s="3" t="s">
        <v>95</v>
      </c>
      <c r="C315" s="3" t="s">
        <v>535</v>
      </c>
      <c r="D315" s="7"/>
      <c r="E315" s="3" t="s">
        <v>538</v>
      </c>
      <c r="F315" s="11">
        <v>69</v>
      </c>
      <c r="G315" s="12">
        <f t="shared" si="4"/>
        <v>69</v>
      </c>
      <c r="H315" s="28">
        <v>45903</v>
      </c>
      <c r="I315" s="3" t="s">
        <v>12</v>
      </c>
      <c r="J315" s="57" t="s">
        <v>539</v>
      </c>
    </row>
    <row r="316" spans="1:10" x14ac:dyDescent="0.25">
      <c r="A316" s="2">
        <v>237</v>
      </c>
      <c r="B316" s="3" t="s">
        <v>95</v>
      </c>
      <c r="C316" s="3" t="s">
        <v>535</v>
      </c>
      <c r="D316" s="5">
        <v>45848</v>
      </c>
      <c r="E316" s="3" t="s">
        <v>536</v>
      </c>
      <c r="F316" s="11">
        <v>187.5</v>
      </c>
      <c r="G316" s="12">
        <f t="shared" si="4"/>
        <v>187.5</v>
      </c>
      <c r="H316" s="28">
        <v>45851</v>
      </c>
      <c r="I316" s="3" t="s">
        <v>12</v>
      </c>
      <c r="J316" s="57" t="s">
        <v>537</v>
      </c>
    </row>
    <row r="317" spans="1:10" x14ac:dyDescent="0.25">
      <c r="A317" s="2">
        <v>313</v>
      </c>
      <c r="B317" s="3" t="s">
        <v>95</v>
      </c>
      <c r="C317" s="3" t="s">
        <v>897</v>
      </c>
      <c r="D317" s="5">
        <v>45847</v>
      </c>
      <c r="E317" s="3" t="s">
        <v>898</v>
      </c>
      <c r="F317" s="11">
        <v>4037.6</v>
      </c>
      <c r="G317" s="12">
        <f t="shared" si="4"/>
        <v>4037.6</v>
      </c>
      <c r="H317" s="28">
        <v>45873</v>
      </c>
      <c r="I317" s="3" t="s">
        <v>12</v>
      </c>
      <c r="J317" s="57" t="s">
        <v>899</v>
      </c>
    </row>
    <row r="318" spans="1:10" x14ac:dyDescent="0.25">
      <c r="A318" s="2">
        <v>372</v>
      </c>
      <c r="B318" s="24" t="s">
        <v>9</v>
      </c>
      <c r="C318" s="3" t="s">
        <v>900</v>
      </c>
      <c r="D318" s="5">
        <v>45847</v>
      </c>
      <c r="E318" s="3" t="s">
        <v>901</v>
      </c>
      <c r="F318" s="11">
        <v>1090</v>
      </c>
      <c r="G318" s="12">
        <f t="shared" si="4"/>
        <v>1090</v>
      </c>
      <c r="H318" s="28">
        <v>45895</v>
      </c>
      <c r="I318" s="3" t="s">
        <v>12</v>
      </c>
      <c r="J318" s="57" t="s">
        <v>902</v>
      </c>
    </row>
    <row r="319" spans="1:10" x14ac:dyDescent="0.25">
      <c r="A319" s="2">
        <v>240</v>
      </c>
      <c r="B319" s="3" t="s">
        <v>95</v>
      </c>
      <c r="C319" s="3" t="s">
        <v>531</v>
      </c>
      <c r="D319" s="5">
        <v>45848</v>
      </c>
      <c r="E319" s="3" t="s">
        <v>532</v>
      </c>
      <c r="F319" s="11">
        <v>75</v>
      </c>
      <c r="G319" s="12">
        <f t="shared" si="4"/>
        <v>75</v>
      </c>
      <c r="H319" s="28">
        <v>45852</v>
      </c>
      <c r="I319" s="3" t="s">
        <v>12</v>
      </c>
      <c r="J319" s="57" t="s">
        <v>533</v>
      </c>
    </row>
    <row r="320" spans="1:10" x14ac:dyDescent="0.25">
      <c r="A320" s="2">
        <v>33</v>
      </c>
      <c r="B320" s="3" t="s">
        <v>95</v>
      </c>
      <c r="C320" s="3" t="s">
        <v>531</v>
      </c>
      <c r="D320" s="7"/>
      <c r="E320" s="63" t="s">
        <v>534</v>
      </c>
      <c r="F320" s="11">
        <v>127.2</v>
      </c>
      <c r="G320" s="12">
        <f t="shared" si="4"/>
        <v>0</v>
      </c>
      <c r="H320" s="4" t="s">
        <v>33</v>
      </c>
      <c r="I320" s="3" t="s">
        <v>12</v>
      </c>
      <c r="J320" s="57"/>
    </row>
    <row r="321" spans="1:10" x14ac:dyDescent="0.25">
      <c r="A321" s="2">
        <v>257</v>
      </c>
      <c r="B321" s="3" t="s">
        <v>95</v>
      </c>
      <c r="C321" s="3" t="s">
        <v>526</v>
      </c>
      <c r="D321" s="7"/>
      <c r="E321" s="3" t="s">
        <v>529</v>
      </c>
      <c r="F321" s="11">
        <v>298.5</v>
      </c>
      <c r="G321" s="12">
        <f t="shared" ref="G321:G384" si="5">IF(J321&gt;0,F321,0)</f>
        <v>298.5</v>
      </c>
      <c r="H321" s="28">
        <v>45859</v>
      </c>
      <c r="I321" s="3" t="s">
        <v>12</v>
      </c>
      <c r="J321" s="57" t="s">
        <v>530</v>
      </c>
    </row>
    <row r="322" spans="1:10" x14ac:dyDescent="0.25">
      <c r="A322" s="2">
        <v>243</v>
      </c>
      <c r="B322" s="3" t="s">
        <v>95</v>
      </c>
      <c r="C322" s="3" t="s">
        <v>526</v>
      </c>
      <c r="D322" s="5">
        <v>45852</v>
      </c>
      <c r="E322" s="3" t="s">
        <v>527</v>
      </c>
      <c r="F322" s="11">
        <v>1009.4</v>
      </c>
      <c r="G322" s="12">
        <f t="shared" si="5"/>
        <v>1009.4</v>
      </c>
      <c r="H322" s="28">
        <v>45853</v>
      </c>
      <c r="I322" s="3" t="s">
        <v>12</v>
      </c>
      <c r="J322" s="57" t="s">
        <v>528</v>
      </c>
    </row>
    <row r="323" spans="1:10" x14ac:dyDescent="0.25">
      <c r="A323" s="2">
        <v>344</v>
      </c>
      <c r="B323" s="3" t="s">
        <v>95</v>
      </c>
      <c r="C323" s="3" t="s">
        <v>903</v>
      </c>
      <c r="D323" s="5">
        <v>45852</v>
      </c>
      <c r="E323" s="3" t="s">
        <v>904</v>
      </c>
      <c r="F323" s="11">
        <v>11295</v>
      </c>
      <c r="G323" s="12">
        <f t="shared" si="5"/>
        <v>11295</v>
      </c>
      <c r="H323" s="28">
        <v>45884</v>
      </c>
      <c r="I323" s="3" t="s">
        <v>12</v>
      </c>
      <c r="J323" s="57" t="s">
        <v>905</v>
      </c>
    </row>
    <row r="324" spans="1:10" x14ac:dyDescent="0.25">
      <c r="A324" s="2">
        <v>251</v>
      </c>
      <c r="B324" s="24" t="s">
        <v>9</v>
      </c>
      <c r="C324" s="3" t="s">
        <v>906</v>
      </c>
      <c r="D324" s="5">
        <v>45852</v>
      </c>
      <c r="E324" s="3" t="s">
        <v>907</v>
      </c>
      <c r="F324" s="11">
        <v>1118</v>
      </c>
      <c r="G324" s="12">
        <f t="shared" si="5"/>
        <v>1118</v>
      </c>
      <c r="H324" s="28">
        <v>45856</v>
      </c>
      <c r="I324" s="3" t="s">
        <v>12</v>
      </c>
      <c r="J324" s="57" t="s">
        <v>908</v>
      </c>
    </row>
    <row r="325" spans="1:10" x14ac:dyDescent="0.25">
      <c r="A325" s="2">
        <v>246</v>
      </c>
      <c r="B325" s="24" t="s">
        <v>9</v>
      </c>
      <c r="C325" s="3" t="s">
        <v>909</v>
      </c>
      <c r="D325" s="5">
        <v>45852</v>
      </c>
      <c r="E325" s="3" t="s">
        <v>910</v>
      </c>
      <c r="F325" s="11">
        <v>1180</v>
      </c>
      <c r="G325" s="12">
        <f t="shared" si="5"/>
        <v>1180</v>
      </c>
      <c r="H325" s="28">
        <v>45855</v>
      </c>
      <c r="I325" s="3" t="s">
        <v>12</v>
      </c>
      <c r="J325" s="57" t="s">
        <v>911</v>
      </c>
    </row>
    <row r="326" spans="1:10" x14ac:dyDescent="0.25">
      <c r="A326" s="2">
        <v>297</v>
      </c>
      <c r="B326" s="24" t="s">
        <v>9</v>
      </c>
      <c r="C326" s="3" t="s">
        <v>912</v>
      </c>
      <c r="D326" s="5">
        <v>45853</v>
      </c>
      <c r="E326" s="3" t="s">
        <v>913</v>
      </c>
      <c r="F326" s="11">
        <v>300</v>
      </c>
      <c r="G326" s="12">
        <f t="shared" si="5"/>
        <v>300</v>
      </c>
      <c r="H326" s="28">
        <v>45869</v>
      </c>
      <c r="I326" s="3" t="s">
        <v>12</v>
      </c>
      <c r="J326" s="57" t="s">
        <v>914</v>
      </c>
    </row>
    <row r="327" spans="1:10" x14ac:dyDescent="0.25">
      <c r="A327" s="2">
        <v>261</v>
      </c>
      <c r="B327" s="24" t="s">
        <v>9</v>
      </c>
      <c r="C327" s="3" t="s">
        <v>915</v>
      </c>
      <c r="D327" s="5">
        <v>45852</v>
      </c>
      <c r="E327" s="3" t="s">
        <v>916</v>
      </c>
      <c r="F327" s="11">
        <v>9220</v>
      </c>
      <c r="G327" s="12">
        <f t="shared" si="5"/>
        <v>9220</v>
      </c>
      <c r="H327" s="28">
        <v>45860</v>
      </c>
      <c r="I327" s="3" t="s">
        <v>12</v>
      </c>
      <c r="J327" s="57" t="s">
        <v>917</v>
      </c>
    </row>
    <row r="328" spans="1:10" x14ac:dyDescent="0.25">
      <c r="A328" s="2">
        <v>32</v>
      </c>
      <c r="B328" s="24" t="s">
        <v>9</v>
      </c>
      <c r="C328" s="3" t="s">
        <v>693</v>
      </c>
      <c r="D328" s="7"/>
      <c r="E328" s="63" t="s">
        <v>705</v>
      </c>
      <c r="F328" s="11">
        <v>450</v>
      </c>
      <c r="G328" s="12">
        <f t="shared" si="5"/>
        <v>0</v>
      </c>
      <c r="H328" s="4" t="s">
        <v>33</v>
      </c>
      <c r="I328" s="3" t="s">
        <v>12</v>
      </c>
      <c r="J328" s="57"/>
    </row>
    <row r="329" spans="1:10" x14ac:dyDescent="0.25">
      <c r="A329" s="2">
        <v>250</v>
      </c>
      <c r="B329" s="24" t="s">
        <v>9</v>
      </c>
      <c r="C329" s="3" t="s">
        <v>693</v>
      </c>
      <c r="D329" s="7"/>
      <c r="E329" s="3" t="s">
        <v>699</v>
      </c>
      <c r="F329" s="11">
        <v>7401</v>
      </c>
      <c r="G329" s="12">
        <f t="shared" si="5"/>
        <v>7401</v>
      </c>
      <c r="H329" s="28">
        <v>45855</v>
      </c>
      <c r="I329" s="3" t="s">
        <v>12</v>
      </c>
      <c r="J329" s="57" t="s">
        <v>700</v>
      </c>
    </row>
    <row r="330" spans="1:10" x14ac:dyDescent="0.25">
      <c r="A330" s="2">
        <v>255</v>
      </c>
      <c r="B330" s="24" t="s">
        <v>9</v>
      </c>
      <c r="C330" s="3" t="s">
        <v>693</v>
      </c>
      <c r="D330" s="7"/>
      <c r="E330" s="3" t="s">
        <v>701</v>
      </c>
      <c r="F330" s="11">
        <v>4700</v>
      </c>
      <c r="G330" s="12">
        <f t="shared" si="5"/>
        <v>4700</v>
      </c>
      <c r="H330" s="28">
        <v>45858</v>
      </c>
      <c r="I330" s="3" t="s">
        <v>12</v>
      </c>
      <c r="J330" s="57" t="s">
        <v>702</v>
      </c>
    </row>
    <row r="331" spans="1:10" x14ac:dyDescent="0.25">
      <c r="A331" s="2">
        <v>264</v>
      </c>
      <c r="B331" s="24" t="s">
        <v>9</v>
      </c>
      <c r="C331" s="3" t="s">
        <v>918</v>
      </c>
      <c r="D331" s="5">
        <v>45855</v>
      </c>
      <c r="E331" s="3" t="s">
        <v>919</v>
      </c>
      <c r="F331" s="11">
        <v>550</v>
      </c>
      <c r="G331" s="12">
        <f t="shared" si="5"/>
        <v>550</v>
      </c>
      <c r="H331" s="28">
        <v>45860</v>
      </c>
      <c r="I331" s="3" t="s">
        <v>12</v>
      </c>
      <c r="J331" s="57" t="s">
        <v>920</v>
      </c>
    </row>
    <row r="332" spans="1:10" x14ac:dyDescent="0.25">
      <c r="A332" s="2">
        <v>298</v>
      </c>
      <c r="B332" s="24" t="s">
        <v>9</v>
      </c>
      <c r="C332" s="3" t="s">
        <v>501</v>
      </c>
      <c r="D332" s="5">
        <v>45855</v>
      </c>
      <c r="E332" s="3" t="s">
        <v>502</v>
      </c>
      <c r="F332" s="11">
        <v>625</v>
      </c>
      <c r="G332" s="12">
        <f t="shared" si="5"/>
        <v>625</v>
      </c>
      <c r="H332" s="28">
        <v>45869</v>
      </c>
      <c r="I332" s="3" t="s">
        <v>12</v>
      </c>
      <c r="J332" s="57" t="s">
        <v>503</v>
      </c>
    </row>
    <row r="333" spans="1:10" x14ac:dyDescent="0.25">
      <c r="A333" s="2">
        <v>304</v>
      </c>
      <c r="B333" s="24" t="s">
        <v>9</v>
      </c>
      <c r="C333" s="3" t="s">
        <v>921</v>
      </c>
      <c r="D333" s="5">
        <v>45856</v>
      </c>
      <c r="E333" s="3" t="s">
        <v>922</v>
      </c>
      <c r="F333" s="11">
        <v>3415</v>
      </c>
      <c r="G333" s="12">
        <f t="shared" si="5"/>
        <v>3415</v>
      </c>
      <c r="H333" s="28">
        <v>45872</v>
      </c>
      <c r="I333" s="3" t="s">
        <v>12</v>
      </c>
      <c r="J333" s="57" t="s">
        <v>923</v>
      </c>
    </row>
    <row r="334" spans="1:10" x14ac:dyDescent="0.25">
      <c r="A334" s="2">
        <v>327</v>
      </c>
      <c r="B334" s="24" t="s">
        <v>9</v>
      </c>
      <c r="C334" s="3" t="s">
        <v>545</v>
      </c>
      <c r="D334" s="7"/>
      <c r="E334" s="3" t="s">
        <v>550</v>
      </c>
      <c r="F334" s="11">
        <v>408</v>
      </c>
      <c r="G334" s="12">
        <f t="shared" si="5"/>
        <v>408</v>
      </c>
      <c r="H334" s="28">
        <v>45876</v>
      </c>
      <c r="I334" s="3" t="s">
        <v>12</v>
      </c>
      <c r="J334" s="57" t="s">
        <v>551</v>
      </c>
    </row>
    <row r="335" spans="1:10" x14ac:dyDescent="0.25">
      <c r="A335" s="2">
        <v>256</v>
      </c>
      <c r="B335" s="24" t="s">
        <v>9</v>
      </c>
      <c r="C335" s="3" t="s">
        <v>494</v>
      </c>
      <c r="D335" s="5">
        <v>45856</v>
      </c>
      <c r="E335" s="3" t="s">
        <v>495</v>
      </c>
      <c r="F335" s="11">
        <v>1087.5</v>
      </c>
      <c r="G335" s="12">
        <f t="shared" si="5"/>
        <v>1087.5</v>
      </c>
      <c r="H335" s="28">
        <v>45859</v>
      </c>
      <c r="I335" s="3" t="s">
        <v>12</v>
      </c>
      <c r="J335" s="57" t="s">
        <v>496</v>
      </c>
    </row>
    <row r="336" spans="1:10" x14ac:dyDescent="0.25">
      <c r="A336" s="2">
        <v>263</v>
      </c>
      <c r="B336" s="24" t="s">
        <v>9</v>
      </c>
      <c r="C336" s="3" t="s">
        <v>501</v>
      </c>
      <c r="D336" s="5">
        <v>45855</v>
      </c>
      <c r="E336" s="3" t="s">
        <v>504</v>
      </c>
      <c r="F336" s="11">
        <v>449</v>
      </c>
      <c r="G336" s="12">
        <f t="shared" si="5"/>
        <v>449</v>
      </c>
      <c r="H336" s="28">
        <v>45860</v>
      </c>
      <c r="I336" s="3" t="s">
        <v>12</v>
      </c>
      <c r="J336" s="57" t="s">
        <v>505</v>
      </c>
    </row>
    <row r="337" spans="1:10" x14ac:dyDescent="0.25">
      <c r="A337" s="2">
        <v>300</v>
      </c>
      <c r="B337" s="24" t="s">
        <v>9</v>
      </c>
      <c r="C337" s="3" t="s">
        <v>494</v>
      </c>
      <c r="D337" s="5">
        <v>45856</v>
      </c>
      <c r="E337" s="3" t="s">
        <v>499</v>
      </c>
      <c r="F337" s="11">
        <v>275</v>
      </c>
      <c r="G337" s="12">
        <f t="shared" si="5"/>
        <v>275</v>
      </c>
      <c r="H337" s="29">
        <v>45869</v>
      </c>
      <c r="I337" s="3" t="s">
        <v>12</v>
      </c>
      <c r="J337" s="57" t="s">
        <v>500</v>
      </c>
    </row>
    <row r="338" spans="1:10" x14ac:dyDescent="0.25">
      <c r="A338" s="2">
        <v>267</v>
      </c>
      <c r="B338" s="24" t="s">
        <v>9</v>
      </c>
      <c r="C338" s="3" t="s">
        <v>924</v>
      </c>
      <c r="D338" s="5">
        <v>45853</v>
      </c>
      <c r="E338" s="3" t="s">
        <v>925</v>
      </c>
      <c r="F338" s="11">
        <v>1026</v>
      </c>
      <c r="G338" s="12">
        <f t="shared" si="5"/>
        <v>1026</v>
      </c>
      <c r="H338" s="28">
        <v>45861</v>
      </c>
      <c r="I338" s="3" t="s">
        <v>12</v>
      </c>
      <c r="J338" s="57" t="s">
        <v>926</v>
      </c>
    </row>
    <row r="339" spans="1:10" x14ac:dyDescent="0.25">
      <c r="A339" s="2">
        <v>276</v>
      </c>
      <c r="B339" s="24" t="s">
        <v>9</v>
      </c>
      <c r="C339" s="3" t="s">
        <v>927</v>
      </c>
      <c r="D339" s="5">
        <v>45854</v>
      </c>
      <c r="E339" s="3" t="s">
        <v>928</v>
      </c>
      <c r="F339" s="11">
        <v>2356</v>
      </c>
      <c r="G339" s="12">
        <f t="shared" si="5"/>
        <v>2356</v>
      </c>
      <c r="H339" s="28">
        <v>45862</v>
      </c>
      <c r="I339" s="3" t="s">
        <v>12</v>
      </c>
      <c r="J339" s="57" t="s">
        <v>929</v>
      </c>
    </row>
    <row r="340" spans="1:10" x14ac:dyDescent="0.25">
      <c r="A340" s="2">
        <v>266</v>
      </c>
      <c r="B340" s="24" t="s">
        <v>9</v>
      </c>
      <c r="C340" s="3" t="s">
        <v>930</v>
      </c>
      <c r="D340" s="5">
        <v>45852</v>
      </c>
      <c r="E340" s="3" t="s">
        <v>931</v>
      </c>
      <c r="F340" s="11">
        <v>2422.2399999999998</v>
      </c>
      <c r="G340" s="12">
        <f t="shared" si="5"/>
        <v>2422.2399999999998</v>
      </c>
      <c r="H340" s="28">
        <v>45861</v>
      </c>
      <c r="I340" s="3" t="s">
        <v>12</v>
      </c>
      <c r="J340" s="57" t="s">
        <v>932</v>
      </c>
    </row>
    <row r="341" spans="1:10" x14ac:dyDescent="0.25">
      <c r="A341" s="2">
        <v>328</v>
      </c>
      <c r="B341" s="24" t="s">
        <v>9</v>
      </c>
      <c r="C341" s="3" t="s">
        <v>933</v>
      </c>
      <c r="D341" s="5">
        <v>45855</v>
      </c>
      <c r="E341" s="3" t="s">
        <v>934</v>
      </c>
      <c r="F341" s="11">
        <v>9750</v>
      </c>
      <c r="G341" s="12">
        <f t="shared" si="5"/>
        <v>9750</v>
      </c>
      <c r="H341" s="28">
        <v>45877</v>
      </c>
      <c r="I341" s="3" t="s">
        <v>12</v>
      </c>
      <c r="J341" s="57" t="s">
        <v>935</v>
      </c>
    </row>
    <row r="342" spans="1:10" x14ac:dyDescent="0.25">
      <c r="A342" s="2">
        <v>282</v>
      </c>
      <c r="B342" s="24" t="s">
        <v>9</v>
      </c>
      <c r="C342" s="3" t="s">
        <v>515</v>
      </c>
      <c r="D342" s="5">
        <v>45852</v>
      </c>
      <c r="E342" s="3" t="s">
        <v>516</v>
      </c>
      <c r="F342" s="11">
        <v>240</v>
      </c>
      <c r="G342" s="12">
        <f t="shared" si="5"/>
        <v>240</v>
      </c>
      <c r="H342" s="28">
        <v>45866</v>
      </c>
      <c r="I342" s="3" t="s">
        <v>12</v>
      </c>
      <c r="J342" s="57" t="s">
        <v>517</v>
      </c>
    </row>
    <row r="343" spans="1:10" x14ac:dyDescent="0.25">
      <c r="A343" s="2">
        <v>273</v>
      </c>
      <c r="B343" s="24" t="s">
        <v>9</v>
      </c>
      <c r="C343" s="3" t="s">
        <v>515</v>
      </c>
      <c r="D343" s="5">
        <v>45852</v>
      </c>
      <c r="E343" s="3" t="s">
        <v>520</v>
      </c>
      <c r="F343" s="11">
        <v>1309</v>
      </c>
      <c r="G343" s="12">
        <f t="shared" si="5"/>
        <v>1309</v>
      </c>
      <c r="H343" s="28">
        <v>45862</v>
      </c>
      <c r="I343" s="3" t="s">
        <v>12</v>
      </c>
      <c r="J343" s="57" t="s">
        <v>521</v>
      </c>
    </row>
    <row r="344" spans="1:10" x14ac:dyDescent="0.25">
      <c r="A344" s="2">
        <v>262</v>
      </c>
      <c r="B344" s="24" t="s">
        <v>9</v>
      </c>
      <c r="C344" s="3" t="s">
        <v>515</v>
      </c>
      <c r="D344" s="5">
        <v>45852</v>
      </c>
      <c r="E344" s="3" t="s">
        <v>522</v>
      </c>
      <c r="F344" s="11">
        <v>220</v>
      </c>
      <c r="G344" s="12">
        <f t="shared" si="5"/>
        <v>220</v>
      </c>
      <c r="H344" s="28">
        <v>45860</v>
      </c>
      <c r="I344" s="3" t="s">
        <v>12</v>
      </c>
      <c r="J344" s="57" t="s">
        <v>523</v>
      </c>
    </row>
    <row r="345" spans="1:10" x14ac:dyDescent="0.25">
      <c r="A345" s="2">
        <v>277</v>
      </c>
      <c r="B345" s="24" t="s">
        <v>9</v>
      </c>
      <c r="C345" s="3" t="s">
        <v>578</v>
      </c>
      <c r="D345" s="7"/>
      <c r="E345" s="3" t="s">
        <v>581</v>
      </c>
      <c r="F345" s="11">
        <v>105</v>
      </c>
      <c r="G345" s="12">
        <f t="shared" si="5"/>
        <v>105</v>
      </c>
      <c r="H345" s="28">
        <v>45862</v>
      </c>
      <c r="I345" s="3" t="s">
        <v>12</v>
      </c>
      <c r="J345" s="57" t="s">
        <v>582</v>
      </c>
    </row>
    <row r="346" spans="1:10" x14ac:dyDescent="0.25">
      <c r="A346" s="2">
        <v>275</v>
      </c>
      <c r="B346" s="24" t="s">
        <v>9</v>
      </c>
      <c r="C346" s="3" t="s">
        <v>508</v>
      </c>
      <c r="D346" s="5">
        <v>45853</v>
      </c>
      <c r="E346" s="3" t="s">
        <v>511</v>
      </c>
      <c r="F346" s="11">
        <v>922.5</v>
      </c>
      <c r="G346" s="12">
        <f t="shared" si="5"/>
        <v>922.5</v>
      </c>
      <c r="H346" s="28">
        <v>45862</v>
      </c>
      <c r="I346" s="3" t="s">
        <v>12</v>
      </c>
      <c r="J346" s="57" t="s">
        <v>512</v>
      </c>
    </row>
    <row r="347" spans="1:10" x14ac:dyDescent="0.25">
      <c r="A347" s="2">
        <v>31</v>
      </c>
      <c r="B347" s="24" t="s">
        <v>9</v>
      </c>
      <c r="C347" s="3" t="s">
        <v>508</v>
      </c>
      <c r="D347" s="5">
        <v>45853</v>
      </c>
      <c r="E347" s="63" t="s">
        <v>514</v>
      </c>
      <c r="F347" s="11">
        <v>3000</v>
      </c>
      <c r="G347" s="12">
        <f t="shared" si="5"/>
        <v>0</v>
      </c>
      <c r="H347" s="4" t="s">
        <v>33</v>
      </c>
      <c r="I347" s="3" t="s">
        <v>12</v>
      </c>
      <c r="J347" s="57"/>
    </row>
    <row r="348" spans="1:10" x14ac:dyDescent="0.25">
      <c r="A348" s="2">
        <v>272</v>
      </c>
      <c r="B348" s="24" t="s">
        <v>9</v>
      </c>
      <c r="C348" s="3" t="s">
        <v>936</v>
      </c>
      <c r="D348" s="5">
        <v>45860</v>
      </c>
      <c r="E348" s="3" t="s">
        <v>937</v>
      </c>
      <c r="F348" s="11">
        <v>250</v>
      </c>
      <c r="G348" s="12">
        <f t="shared" si="5"/>
        <v>250</v>
      </c>
      <c r="H348" s="28">
        <v>45861</v>
      </c>
      <c r="I348" s="3" t="s">
        <v>12</v>
      </c>
      <c r="J348" s="57" t="s">
        <v>938</v>
      </c>
    </row>
    <row r="349" spans="1:10" x14ac:dyDescent="0.25">
      <c r="A349" s="2">
        <v>294</v>
      </c>
      <c r="B349" s="24" t="s">
        <v>9</v>
      </c>
      <c r="C349" s="3" t="s">
        <v>939</v>
      </c>
      <c r="D349" s="5">
        <v>45859</v>
      </c>
      <c r="E349" s="3" t="s">
        <v>940</v>
      </c>
      <c r="F349" s="11">
        <v>396</v>
      </c>
      <c r="G349" s="12">
        <f t="shared" si="5"/>
        <v>396</v>
      </c>
      <c r="H349" s="28">
        <v>45868</v>
      </c>
      <c r="I349" s="3" t="s">
        <v>12</v>
      </c>
      <c r="J349" s="57" t="s">
        <v>941</v>
      </c>
    </row>
    <row r="350" spans="1:10" x14ac:dyDescent="0.25">
      <c r="A350" s="2">
        <v>30</v>
      </c>
      <c r="B350" s="24" t="s">
        <v>9</v>
      </c>
      <c r="C350" s="3" t="s">
        <v>942</v>
      </c>
      <c r="D350" s="5">
        <v>45859</v>
      </c>
      <c r="E350" s="41" t="s">
        <v>943</v>
      </c>
      <c r="F350" s="11">
        <v>550</v>
      </c>
      <c r="G350" s="12">
        <f t="shared" si="5"/>
        <v>550</v>
      </c>
      <c r="H350" s="4" t="s">
        <v>1745</v>
      </c>
      <c r="I350" s="3" t="s">
        <v>12</v>
      </c>
      <c r="J350" s="57">
        <v>2590014920</v>
      </c>
    </row>
    <row r="351" spans="1:10" x14ac:dyDescent="0.25">
      <c r="A351" s="2">
        <v>274</v>
      </c>
      <c r="B351" s="24" t="s">
        <v>9</v>
      </c>
      <c r="C351" s="3" t="s">
        <v>508</v>
      </c>
      <c r="D351" s="5">
        <v>45853</v>
      </c>
      <c r="E351" s="3" t="s">
        <v>509</v>
      </c>
      <c r="F351" s="11">
        <v>245.4</v>
      </c>
      <c r="G351" s="12">
        <f t="shared" si="5"/>
        <v>245.4</v>
      </c>
      <c r="H351" s="28">
        <v>45862</v>
      </c>
      <c r="I351" s="3" t="s">
        <v>12</v>
      </c>
      <c r="J351" s="57" t="s">
        <v>510</v>
      </c>
    </row>
    <row r="352" spans="1:10" x14ac:dyDescent="0.25">
      <c r="A352" s="2">
        <v>29</v>
      </c>
      <c r="B352" s="24" t="s">
        <v>9</v>
      </c>
      <c r="C352" s="3" t="s">
        <v>508</v>
      </c>
      <c r="D352" s="5">
        <v>45853</v>
      </c>
      <c r="E352" s="63" t="s">
        <v>513</v>
      </c>
      <c r="F352" s="11">
        <v>155</v>
      </c>
      <c r="G352" s="12">
        <f t="shared" si="5"/>
        <v>0</v>
      </c>
      <c r="H352" s="4" t="s">
        <v>33</v>
      </c>
      <c r="I352" s="3" t="s">
        <v>12</v>
      </c>
      <c r="J352" s="57"/>
    </row>
    <row r="353" spans="1:10" x14ac:dyDescent="0.25">
      <c r="A353" s="2">
        <v>293</v>
      </c>
      <c r="B353" s="24" t="s">
        <v>9</v>
      </c>
      <c r="C353" s="3" t="s">
        <v>515</v>
      </c>
      <c r="D353" s="5">
        <v>45852</v>
      </c>
      <c r="E353" s="3" t="s">
        <v>518</v>
      </c>
      <c r="F353" s="11">
        <v>1049.5</v>
      </c>
      <c r="G353" s="12">
        <f t="shared" si="5"/>
        <v>1049.5</v>
      </c>
      <c r="H353" s="28">
        <v>45868</v>
      </c>
      <c r="I353" s="3" t="s">
        <v>12</v>
      </c>
      <c r="J353" s="57" t="s">
        <v>519</v>
      </c>
    </row>
    <row r="354" spans="1:10" x14ac:dyDescent="0.25">
      <c r="A354" s="2">
        <v>301</v>
      </c>
      <c r="B354" s="24" t="s">
        <v>9</v>
      </c>
      <c r="C354" s="3" t="s">
        <v>944</v>
      </c>
      <c r="D354" s="5">
        <v>45859</v>
      </c>
      <c r="E354" s="3" t="s">
        <v>945</v>
      </c>
      <c r="F354" s="11">
        <v>2160</v>
      </c>
      <c r="G354" s="12">
        <f t="shared" si="5"/>
        <v>2160</v>
      </c>
      <c r="H354" s="28">
        <v>45869</v>
      </c>
      <c r="I354" s="3" t="s">
        <v>12</v>
      </c>
      <c r="J354" s="57" t="s">
        <v>946</v>
      </c>
    </row>
    <row r="355" spans="1:10" x14ac:dyDescent="0.25">
      <c r="A355" s="2">
        <v>281</v>
      </c>
      <c r="B355" s="24" t="s">
        <v>9</v>
      </c>
      <c r="C355" s="3" t="s">
        <v>482</v>
      </c>
      <c r="D355" s="5">
        <v>45862</v>
      </c>
      <c r="E355" s="3" t="s">
        <v>483</v>
      </c>
      <c r="F355" s="11">
        <v>307.5</v>
      </c>
      <c r="G355" s="12">
        <f t="shared" si="5"/>
        <v>307.5</v>
      </c>
      <c r="H355" s="28">
        <v>45864</v>
      </c>
      <c r="I355" s="3" t="s">
        <v>12</v>
      </c>
      <c r="J355" s="57" t="s">
        <v>484</v>
      </c>
    </row>
    <row r="356" spans="1:10" x14ac:dyDescent="0.25">
      <c r="A356" s="2">
        <v>302</v>
      </c>
      <c r="B356" s="24" t="s">
        <v>9</v>
      </c>
      <c r="C356" s="3" t="s">
        <v>487</v>
      </c>
      <c r="D356" s="5">
        <v>45862</v>
      </c>
      <c r="E356" s="3" t="s">
        <v>488</v>
      </c>
      <c r="F356" s="11">
        <v>4994.75</v>
      </c>
      <c r="G356" s="12">
        <f t="shared" si="5"/>
        <v>4994.75</v>
      </c>
      <c r="H356" s="28">
        <v>45870</v>
      </c>
      <c r="I356" s="3" t="s">
        <v>12</v>
      </c>
      <c r="J356" s="57" t="s">
        <v>489</v>
      </c>
    </row>
    <row r="357" spans="1:10" x14ac:dyDescent="0.25">
      <c r="A357" s="2">
        <v>270</v>
      </c>
      <c r="B357" s="24" t="s">
        <v>9</v>
      </c>
      <c r="C357" s="3" t="s">
        <v>947</v>
      </c>
      <c r="D357" s="5">
        <v>45860</v>
      </c>
      <c r="E357" s="3" t="s">
        <v>948</v>
      </c>
      <c r="F357" s="11">
        <v>384.75</v>
      </c>
      <c r="G357" s="12">
        <f t="shared" si="5"/>
        <v>384.75</v>
      </c>
      <c r="H357" s="28">
        <v>45861</v>
      </c>
      <c r="I357" s="3" t="s">
        <v>12</v>
      </c>
      <c r="J357" s="57" t="s">
        <v>949</v>
      </c>
    </row>
    <row r="358" spans="1:10" x14ac:dyDescent="0.25">
      <c r="A358" s="2">
        <v>279</v>
      </c>
      <c r="B358" s="24" t="s">
        <v>9</v>
      </c>
      <c r="C358" s="3" t="s">
        <v>950</v>
      </c>
      <c r="D358" s="5">
        <v>45838</v>
      </c>
      <c r="E358" s="3" t="s">
        <v>951</v>
      </c>
      <c r="F358" s="11">
        <v>1190</v>
      </c>
      <c r="G358" s="12">
        <f t="shared" si="5"/>
        <v>1190</v>
      </c>
      <c r="H358" s="28">
        <v>45864</v>
      </c>
      <c r="I358" s="3" t="s">
        <v>12</v>
      </c>
      <c r="J358" s="57" t="s">
        <v>952</v>
      </c>
    </row>
    <row r="359" spans="1:10" x14ac:dyDescent="0.25">
      <c r="A359" s="2">
        <v>286</v>
      </c>
      <c r="B359" s="24" t="s">
        <v>9</v>
      </c>
      <c r="C359" s="3" t="s">
        <v>487</v>
      </c>
      <c r="D359" s="5">
        <v>45862</v>
      </c>
      <c r="E359" s="3" t="s">
        <v>490</v>
      </c>
      <c r="F359" s="11">
        <v>450</v>
      </c>
      <c r="G359" s="12">
        <f t="shared" si="5"/>
        <v>450</v>
      </c>
      <c r="H359" s="28">
        <v>45866</v>
      </c>
      <c r="I359" s="3" t="s">
        <v>12</v>
      </c>
      <c r="J359" s="57" t="s">
        <v>491</v>
      </c>
    </row>
    <row r="360" spans="1:10" x14ac:dyDescent="0.25">
      <c r="A360" s="2">
        <v>305</v>
      </c>
      <c r="B360" s="24" t="s">
        <v>9</v>
      </c>
      <c r="C360" s="3" t="s">
        <v>487</v>
      </c>
      <c r="D360" s="5">
        <v>45862</v>
      </c>
      <c r="E360" s="3" t="s">
        <v>492</v>
      </c>
      <c r="F360" s="11">
        <v>470</v>
      </c>
      <c r="G360" s="12">
        <f t="shared" si="5"/>
        <v>470</v>
      </c>
      <c r="H360" s="28">
        <v>45872</v>
      </c>
      <c r="I360" s="3" t="s">
        <v>12</v>
      </c>
      <c r="J360" s="57" t="s">
        <v>493</v>
      </c>
    </row>
    <row r="361" spans="1:10" x14ac:dyDescent="0.25">
      <c r="A361" s="2">
        <v>345</v>
      </c>
      <c r="B361" s="3" t="s">
        <v>95</v>
      </c>
      <c r="C361" s="3" t="s">
        <v>953</v>
      </c>
      <c r="D361" s="5">
        <v>45859</v>
      </c>
      <c r="E361" s="3" t="s">
        <v>954</v>
      </c>
      <c r="F361" s="11">
        <v>5655</v>
      </c>
      <c r="G361" s="12">
        <f t="shared" si="5"/>
        <v>5655</v>
      </c>
      <c r="H361" s="28">
        <v>45884</v>
      </c>
      <c r="I361" s="3" t="s">
        <v>12</v>
      </c>
      <c r="J361" s="57" t="s">
        <v>955</v>
      </c>
    </row>
    <row r="362" spans="1:10" x14ac:dyDescent="0.25">
      <c r="A362" s="2">
        <v>292</v>
      </c>
      <c r="B362" s="24" t="s">
        <v>9</v>
      </c>
      <c r="C362" s="3" t="s">
        <v>956</v>
      </c>
      <c r="D362" s="5">
        <v>45863</v>
      </c>
      <c r="E362" s="3" t="s">
        <v>957</v>
      </c>
      <c r="F362" s="11">
        <v>1170</v>
      </c>
      <c r="G362" s="12">
        <f t="shared" si="5"/>
        <v>1170</v>
      </c>
      <c r="H362" s="28">
        <v>45867</v>
      </c>
      <c r="I362" s="3" t="s">
        <v>12</v>
      </c>
      <c r="J362" s="57" t="s">
        <v>958</v>
      </c>
    </row>
    <row r="363" spans="1:10" x14ac:dyDescent="0.25">
      <c r="A363" s="2">
        <v>330</v>
      </c>
      <c r="B363" s="24" t="s">
        <v>9</v>
      </c>
      <c r="C363" s="3" t="s">
        <v>494</v>
      </c>
      <c r="D363" s="5">
        <v>45856</v>
      </c>
      <c r="E363" s="3" t="s">
        <v>497</v>
      </c>
      <c r="F363" s="11">
        <v>1330</v>
      </c>
      <c r="G363" s="12">
        <f t="shared" si="5"/>
        <v>1330</v>
      </c>
      <c r="H363" s="28">
        <v>45879</v>
      </c>
      <c r="I363" s="3" t="s">
        <v>12</v>
      </c>
      <c r="J363" s="57" t="s">
        <v>498</v>
      </c>
    </row>
    <row r="364" spans="1:10" x14ac:dyDescent="0.25">
      <c r="A364" s="2">
        <v>28</v>
      </c>
      <c r="B364" s="24" t="s">
        <v>9</v>
      </c>
      <c r="C364" s="3" t="s">
        <v>959</v>
      </c>
      <c r="D364" s="5">
        <v>45866</v>
      </c>
      <c r="E364" s="63" t="s">
        <v>960</v>
      </c>
      <c r="F364" s="11">
        <v>1150</v>
      </c>
      <c r="G364" s="12">
        <f t="shared" si="5"/>
        <v>0</v>
      </c>
      <c r="H364" s="4" t="s">
        <v>33</v>
      </c>
      <c r="I364" s="3" t="s">
        <v>12</v>
      </c>
      <c r="J364" s="57"/>
    </row>
    <row r="365" spans="1:10" x14ac:dyDescent="0.25">
      <c r="A365" s="2">
        <v>423</v>
      </c>
      <c r="B365" s="24" t="s">
        <v>9</v>
      </c>
      <c r="C365" s="3" t="s">
        <v>475</v>
      </c>
      <c r="D365" s="5">
        <v>45866</v>
      </c>
      <c r="E365" s="3" t="s">
        <v>478</v>
      </c>
      <c r="F365" s="11">
        <v>1115.5</v>
      </c>
      <c r="G365" s="12">
        <f t="shared" si="5"/>
        <v>1115.5</v>
      </c>
      <c r="H365" s="28">
        <v>45921</v>
      </c>
      <c r="I365" s="3" t="s">
        <v>12</v>
      </c>
      <c r="J365" s="57" t="s">
        <v>479</v>
      </c>
    </row>
    <row r="366" spans="1:10" x14ac:dyDescent="0.25">
      <c r="A366" s="2">
        <v>296</v>
      </c>
      <c r="B366" s="24" t="s">
        <v>9</v>
      </c>
      <c r="C366" s="3" t="s">
        <v>475</v>
      </c>
      <c r="D366" s="5">
        <v>45866</v>
      </c>
      <c r="E366" s="3" t="s">
        <v>480</v>
      </c>
      <c r="F366" s="11">
        <v>1140</v>
      </c>
      <c r="G366" s="12">
        <f t="shared" si="5"/>
        <v>1140</v>
      </c>
      <c r="H366" s="28">
        <v>45868</v>
      </c>
      <c r="I366" s="3" t="s">
        <v>12</v>
      </c>
      <c r="J366" s="57" t="s">
        <v>481</v>
      </c>
    </row>
    <row r="367" spans="1:10" x14ac:dyDescent="0.25">
      <c r="A367" s="2">
        <v>411</v>
      </c>
      <c r="B367" s="3" t="s">
        <v>95</v>
      </c>
      <c r="C367" s="3" t="s">
        <v>961</v>
      </c>
      <c r="D367" s="5">
        <v>45852</v>
      </c>
      <c r="E367" s="3" t="s">
        <v>962</v>
      </c>
      <c r="F367" s="11">
        <v>35900</v>
      </c>
      <c r="G367" s="12">
        <f t="shared" si="5"/>
        <v>35900</v>
      </c>
      <c r="H367" s="28">
        <v>45915</v>
      </c>
      <c r="I367" s="3" t="s">
        <v>12</v>
      </c>
      <c r="J367" s="57" t="s">
        <v>963</v>
      </c>
    </row>
    <row r="368" spans="1:10" x14ac:dyDescent="0.25">
      <c r="A368" s="2">
        <v>295</v>
      </c>
      <c r="B368" s="24" t="s">
        <v>9</v>
      </c>
      <c r="C368" s="3" t="s">
        <v>964</v>
      </c>
      <c r="D368" s="5">
        <v>45864</v>
      </c>
      <c r="E368" s="3" t="s">
        <v>965</v>
      </c>
      <c r="F368" s="11">
        <v>144</v>
      </c>
      <c r="G368" s="12">
        <f t="shared" si="5"/>
        <v>144</v>
      </c>
      <c r="H368" s="28">
        <v>45868</v>
      </c>
      <c r="I368" s="3" t="s">
        <v>12</v>
      </c>
      <c r="J368" s="57" t="s">
        <v>966</v>
      </c>
    </row>
    <row r="369" spans="1:10" x14ac:dyDescent="0.25">
      <c r="A369" s="2">
        <v>340</v>
      </c>
      <c r="B369" s="24" t="s">
        <v>9</v>
      </c>
      <c r="C369" s="3" t="s">
        <v>475</v>
      </c>
      <c r="D369" s="5">
        <v>45866</v>
      </c>
      <c r="E369" s="3" t="s">
        <v>476</v>
      </c>
      <c r="F369" s="11">
        <v>98.6</v>
      </c>
      <c r="G369" s="12">
        <f t="shared" si="5"/>
        <v>98.6</v>
      </c>
      <c r="H369" s="28">
        <v>45881</v>
      </c>
      <c r="I369" s="3" t="s">
        <v>12</v>
      </c>
      <c r="J369" s="57" t="s">
        <v>477</v>
      </c>
    </row>
    <row r="370" spans="1:10" x14ac:dyDescent="0.25">
      <c r="A370" s="2">
        <v>299</v>
      </c>
      <c r="B370" s="24" t="s">
        <v>9</v>
      </c>
      <c r="C370" s="3" t="s">
        <v>501</v>
      </c>
      <c r="D370" s="5">
        <v>45855</v>
      </c>
      <c r="E370" s="3" t="s">
        <v>506</v>
      </c>
      <c r="F370" s="11">
        <v>85</v>
      </c>
      <c r="G370" s="12">
        <f t="shared" si="5"/>
        <v>85</v>
      </c>
      <c r="H370" s="28">
        <v>45869</v>
      </c>
      <c r="I370" s="3" t="s">
        <v>12</v>
      </c>
      <c r="J370" s="57" t="s">
        <v>507</v>
      </c>
    </row>
    <row r="371" spans="1:10" x14ac:dyDescent="0.25">
      <c r="A371" s="2">
        <v>314</v>
      </c>
      <c r="B371" s="24" t="s">
        <v>9</v>
      </c>
      <c r="C371" s="3" t="s">
        <v>515</v>
      </c>
      <c r="D371" s="5">
        <v>45852</v>
      </c>
      <c r="E371" s="3" t="s">
        <v>524</v>
      </c>
      <c r="F371" s="11">
        <v>148</v>
      </c>
      <c r="G371" s="12">
        <f t="shared" si="5"/>
        <v>148</v>
      </c>
      <c r="H371" s="28">
        <v>45873</v>
      </c>
      <c r="I371" s="3" t="s">
        <v>12</v>
      </c>
      <c r="J371" s="57" t="s">
        <v>525</v>
      </c>
    </row>
    <row r="372" spans="1:10" x14ac:dyDescent="0.25">
      <c r="A372" s="2">
        <v>303</v>
      </c>
      <c r="B372" s="24" t="s">
        <v>9</v>
      </c>
      <c r="C372" s="3" t="s">
        <v>967</v>
      </c>
      <c r="D372" s="5">
        <v>45868</v>
      </c>
      <c r="E372" s="3" t="s">
        <v>968</v>
      </c>
      <c r="F372" s="11">
        <v>520</v>
      </c>
      <c r="G372" s="12">
        <f t="shared" si="5"/>
        <v>520</v>
      </c>
      <c r="H372" s="28">
        <v>45870</v>
      </c>
      <c r="I372" s="3" t="s">
        <v>12</v>
      </c>
      <c r="J372" s="57" t="s">
        <v>969</v>
      </c>
    </row>
    <row r="373" spans="1:10" x14ac:dyDescent="0.25">
      <c r="A373" s="2">
        <v>315</v>
      </c>
      <c r="B373" s="24" t="s">
        <v>9</v>
      </c>
      <c r="C373" s="3" t="s">
        <v>482</v>
      </c>
      <c r="D373" s="5">
        <v>45862</v>
      </c>
      <c r="E373" s="3" t="s">
        <v>485</v>
      </c>
      <c r="F373" s="11">
        <v>1352</v>
      </c>
      <c r="G373" s="12">
        <f t="shared" si="5"/>
        <v>1352</v>
      </c>
      <c r="H373" s="28">
        <v>45873</v>
      </c>
      <c r="I373" s="3" t="s">
        <v>12</v>
      </c>
      <c r="J373" s="57" t="s">
        <v>486</v>
      </c>
    </row>
    <row r="374" spans="1:10" x14ac:dyDescent="0.25">
      <c r="A374" s="2">
        <v>343</v>
      </c>
      <c r="B374" s="24" t="s">
        <v>9</v>
      </c>
      <c r="C374" s="3" t="s">
        <v>693</v>
      </c>
      <c r="D374" s="7"/>
      <c r="E374" s="3" t="s">
        <v>706</v>
      </c>
      <c r="F374" s="11">
        <v>480</v>
      </c>
      <c r="G374" s="12">
        <f t="shared" si="5"/>
        <v>480</v>
      </c>
      <c r="H374" s="28">
        <v>45883</v>
      </c>
      <c r="I374" s="3" t="s">
        <v>12</v>
      </c>
      <c r="J374" s="57" t="s">
        <v>707</v>
      </c>
    </row>
    <row r="375" spans="1:10" x14ac:dyDescent="0.25">
      <c r="A375" s="2">
        <v>334</v>
      </c>
      <c r="B375" s="24" t="s">
        <v>9</v>
      </c>
      <c r="C375" s="3" t="s">
        <v>693</v>
      </c>
      <c r="D375" s="7"/>
      <c r="E375" s="3" t="s">
        <v>708</v>
      </c>
      <c r="F375" s="11">
        <v>4200</v>
      </c>
      <c r="G375" s="12">
        <f t="shared" si="5"/>
        <v>4200</v>
      </c>
      <c r="H375" s="28">
        <v>45879</v>
      </c>
      <c r="I375" s="3" t="s">
        <v>12</v>
      </c>
      <c r="J375" s="57" t="s">
        <v>709</v>
      </c>
    </row>
    <row r="376" spans="1:10" x14ac:dyDescent="0.25">
      <c r="A376" s="2">
        <v>308</v>
      </c>
      <c r="B376" s="3" t="s">
        <v>95</v>
      </c>
      <c r="C376" s="3" t="s">
        <v>464</v>
      </c>
      <c r="D376" s="5">
        <v>45867</v>
      </c>
      <c r="E376" s="3" t="s">
        <v>467</v>
      </c>
      <c r="F376" s="11">
        <v>8019</v>
      </c>
      <c r="G376" s="12">
        <f t="shared" si="5"/>
        <v>8019</v>
      </c>
      <c r="H376" s="28">
        <v>45872</v>
      </c>
      <c r="I376" s="3" t="s">
        <v>12</v>
      </c>
      <c r="J376" s="57" t="s">
        <v>468</v>
      </c>
    </row>
    <row r="377" spans="1:10" x14ac:dyDescent="0.25">
      <c r="A377" s="2">
        <v>309</v>
      </c>
      <c r="B377" s="3" t="s">
        <v>95</v>
      </c>
      <c r="C377" s="3" t="s">
        <v>464</v>
      </c>
      <c r="D377" s="5">
        <v>45867</v>
      </c>
      <c r="E377" s="3" t="s">
        <v>473</v>
      </c>
      <c r="F377" s="11">
        <v>985</v>
      </c>
      <c r="G377" s="12">
        <f t="shared" si="5"/>
        <v>985</v>
      </c>
      <c r="H377" s="28">
        <v>45872</v>
      </c>
      <c r="I377" s="3" t="s">
        <v>12</v>
      </c>
      <c r="J377" s="57" t="s">
        <v>474</v>
      </c>
    </row>
    <row r="378" spans="1:10" x14ac:dyDescent="0.25">
      <c r="A378" s="2">
        <v>346</v>
      </c>
      <c r="B378" s="3" t="s">
        <v>95</v>
      </c>
      <c r="C378" s="3" t="s">
        <v>464</v>
      </c>
      <c r="D378" s="5">
        <v>45867</v>
      </c>
      <c r="E378" s="3" t="s">
        <v>465</v>
      </c>
      <c r="F378" s="11">
        <v>10094</v>
      </c>
      <c r="G378" s="12">
        <f t="shared" si="5"/>
        <v>10094</v>
      </c>
      <c r="H378" s="28">
        <v>45886</v>
      </c>
      <c r="I378" s="3" t="s">
        <v>12</v>
      </c>
      <c r="J378" s="57" t="s">
        <v>466</v>
      </c>
    </row>
    <row r="379" spans="1:10" x14ac:dyDescent="0.25">
      <c r="A379" s="2">
        <v>318</v>
      </c>
      <c r="B379" s="24" t="s">
        <v>9</v>
      </c>
      <c r="C379" s="3" t="s">
        <v>970</v>
      </c>
      <c r="D379" s="5">
        <v>45869</v>
      </c>
      <c r="E379" s="3" t="s">
        <v>971</v>
      </c>
      <c r="F379" s="11">
        <v>3250</v>
      </c>
      <c r="G379" s="12">
        <f t="shared" si="5"/>
        <v>3250</v>
      </c>
      <c r="H379" s="28">
        <v>45873</v>
      </c>
      <c r="I379" s="3" t="s">
        <v>12</v>
      </c>
      <c r="J379" s="57" t="s">
        <v>972</v>
      </c>
    </row>
    <row r="380" spans="1:10" x14ac:dyDescent="0.25">
      <c r="A380" s="2">
        <v>319</v>
      </c>
      <c r="B380" s="3" t="s">
        <v>95</v>
      </c>
      <c r="C380" s="3" t="s">
        <v>464</v>
      </c>
      <c r="D380" s="5">
        <v>45867</v>
      </c>
      <c r="E380" s="3" t="s">
        <v>469</v>
      </c>
      <c r="F380" s="11">
        <v>562.5</v>
      </c>
      <c r="G380" s="12">
        <f t="shared" si="5"/>
        <v>562.5</v>
      </c>
      <c r="H380" s="28">
        <v>45874</v>
      </c>
      <c r="I380" s="3" t="s">
        <v>12</v>
      </c>
      <c r="J380" s="57" t="s">
        <v>470</v>
      </c>
    </row>
    <row r="381" spans="1:10" x14ac:dyDescent="0.25">
      <c r="A381" s="2">
        <v>383</v>
      </c>
      <c r="B381" s="3" t="s">
        <v>95</v>
      </c>
      <c r="C381" s="3" t="s">
        <v>464</v>
      </c>
      <c r="D381" s="5">
        <v>45867</v>
      </c>
      <c r="E381" s="3" t="s">
        <v>471</v>
      </c>
      <c r="F381" s="11">
        <v>777.5</v>
      </c>
      <c r="G381" s="12">
        <f t="shared" si="5"/>
        <v>777.5</v>
      </c>
      <c r="H381" s="28">
        <v>45903</v>
      </c>
      <c r="I381" s="3" t="s">
        <v>12</v>
      </c>
      <c r="J381" s="57" t="s">
        <v>472</v>
      </c>
    </row>
    <row r="382" spans="1:10" x14ac:dyDescent="0.25">
      <c r="A382" s="2">
        <v>316</v>
      </c>
      <c r="B382" s="24" t="s">
        <v>9</v>
      </c>
      <c r="C382" s="3" t="s">
        <v>973</v>
      </c>
      <c r="D382" s="5">
        <v>45866</v>
      </c>
      <c r="E382" s="3" t="s">
        <v>974</v>
      </c>
      <c r="F382" s="11">
        <v>7880</v>
      </c>
      <c r="G382" s="12">
        <f t="shared" si="5"/>
        <v>7880</v>
      </c>
      <c r="H382" s="28">
        <v>45873</v>
      </c>
      <c r="I382" s="3" t="s">
        <v>12</v>
      </c>
      <c r="J382" s="57" t="s">
        <v>975</v>
      </c>
    </row>
    <row r="383" spans="1:10" x14ac:dyDescent="0.25">
      <c r="A383" s="2">
        <v>311</v>
      </c>
      <c r="B383" s="24" t="s">
        <v>9</v>
      </c>
      <c r="C383" s="3" t="s">
        <v>583</v>
      </c>
      <c r="D383" s="7"/>
      <c r="E383" s="3" t="s">
        <v>586</v>
      </c>
      <c r="F383" s="11">
        <v>500</v>
      </c>
      <c r="G383" s="12">
        <f t="shared" si="5"/>
        <v>500</v>
      </c>
      <c r="H383" s="28">
        <v>45872</v>
      </c>
      <c r="I383" s="3" t="s">
        <v>12</v>
      </c>
      <c r="J383" s="57" t="s">
        <v>587</v>
      </c>
    </row>
    <row r="384" spans="1:10" x14ac:dyDescent="0.25">
      <c r="A384" s="2">
        <v>331</v>
      </c>
      <c r="B384" s="24" t="s">
        <v>9</v>
      </c>
      <c r="C384" s="3" t="s">
        <v>976</v>
      </c>
      <c r="D384" s="5">
        <v>45869</v>
      </c>
      <c r="E384" s="3" t="s">
        <v>977</v>
      </c>
      <c r="F384" s="11">
        <v>520</v>
      </c>
      <c r="G384" s="12">
        <f t="shared" si="5"/>
        <v>520</v>
      </c>
      <c r="H384" s="28">
        <v>45879</v>
      </c>
      <c r="I384" s="3" t="s">
        <v>12</v>
      </c>
      <c r="J384" s="57" t="s">
        <v>978</v>
      </c>
    </row>
    <row r="385" spans="1:10" x14ac:dyDescent="0.25">
      <c r="A385" s="2">
        <v>321</v>
      </c>
      <c r="B385" s="3" t="s">
        <v>95</v>
      </c>
      <c r="C385" s="3" t="s">
        <v>457</v>
      </c>
      <c r="D385" s="5">
        <v>45869</v>
      </c>
      <c r="E385" s="3" t="s">
        <v>458</v>
      </c>
      <c r="F385" s="11">
        <v>4037.6</v>
      </c>
      <c r="G385" s="12">
        <f t="shared" ref="G385:G448" si="6">IF(J385&gt;0,F385,0)</f>
        <v>4037.6</v>
      </c>
      <c r="H385" s="28">
        <v>45874</v>
      </c>
      <c r="I385" s="3" t="s">
        <v>12</v>
      </c>
      <c r="J385" s="57" t="s">
        <v>459</v>
      </c>
    </row>
    <row r="386" spans="1:10" x14ac:dyDescent="0.25">
      <c r="A386" s="2">
        <v>320</v>
      </c>
      <c r="B386" s="3" t="s">
        <v>95</v>
      </c>
      <c r="C386" s="3" t="s">
        <v>457</v>
      </c>
      <c r="D386" s="5">
        <v>45869</v>
      </c>
      <c r="E386" s="3" t="s">
        <v>460</v>
      </c>
      <c r="F386" s="11">
        <v>1980</v>
      </c>
      <c r="G386" s="12">
        <f t="shared" si="6"/>
        <v>1980</v>
      </c>
      <c r="H386" s="28">
        <v>45874</v>
      </c>
      <c r="I386" s="3" t="s">
        <v>12</v>
      </c>
      <c r="J386" s="57" t="s">
        <v>459</v>
      </c>
    </row>
    <row r="387" spans="1:10" x14ac:dyDescent="0.25">
      <c r="A387" s="2">
        <v>384</v>
      </c>
      <c r="B387" s="3" t="s">
        <v>95</v>
      </c>
      <c r="C387" s="3" t="s">
        <v>457</v>
      </c>
      <c r="D387" s="5">
        <v>45869</v>
      </c>
      <c r="E387" s="3" t="s">
        <v>461</v>
      </c>
      <c r="F387" s="11">
        <v>455</v>
      </c>
      <c r="G387" s="12">
        <f t="shared" si="6"/>
        <v>455</v>
      </c>
      <c r="H387" s="28">
        <v>45903</v>
      </c>
      <c r="I387" s="3" t="s">
        <v>12</v>
      </c>
      <c r="J387" s="57" t="s">
        <v>462</v>
      </c>
    </row>
    <row r="388" spans="1:10" x14ac:dyDescent="0.25">
      <c r="A388" s="2">
        <v>27</v>
      </c>
      <c r="B388" s="3" t="s">
        <v>95</v>
      </c>
      <c r="C388" s="3" t="s">
        <v>457</v>
      </c>
      <c r="D388" s="5">
        <v>45869</v>
      </c>
      <c r="E388" s="63" t="s">
        <v>463</v>
      </c>
      <c r="F388" s="11">
        <v>470</v>
      </c>
      <c r="G388" s="12">
        <f t="shared" si="6"/>
        <v>0</v>
      </c>
      <c r="H388" s="4" t="s">
        <v>33</v>
      </c>
      <c r="I388" s="3" t="s">
        <v>12</v>
      </c>
      <c r="J388" s="57"/>
    </row>
    <row r="389" spans="1:10" x14ac:dyDescent="0.25">
      <c r="A389" s="2">
        <v>26</v>
      </c>
      <c r="B389" s="24" t="s">
        <v>9</v>
      </c>
      <c r="C389" s="3" t="s">
        <v>979</v>
      </c>
      <c r="D389" s="5">
        <v>45873</v>
      </c>
      <c r="E389" s="63" t="s">
        <v>980</v>
      </c>
      <c r="F389" s="11">
        <v>4950</v>
      </c>
      <c r="G389" s="12">
        <f t="shared" si="6"/>
        <v>0</v>
      </c>
      <c r="H389" s="4" t="s">
        <v>33</v>
      </c>
      <c r="I389" s="3" t="s">
        <v>12</v>
      </c>
      <c r="J389" s="57"/>
    </row>
    <row r="390" spans="1:10" x14ac:dyDescent="0.25">
      <c r="A390" s="2">
        <v>332</v>
      </c>
      <c r="B390" s="24" t="s">
        <v>9</v>
      </c>
      <c r="C390" s="3" t="s">
        <v>981</v>
      </c>
      <c r="D390" s="5">
        <v>45873</v>
      </c>
      <c r="E390" s="3" t="s">
        <v>982</v>
      </c>
      <c r="F390" s="11">
        <v>5500</v>
      </c>
      <c r="G390" s="12">
        <f t="shared" si="6"/>
        <v>5500</v>
      </c>
      <c r="H390" s="28">
        <v>45879</v>
      </c>
      <c r="I390" s="3" t="s">
        <v>12</v>
      </c>
      <c r="J390" s="57" t="s">
        <v>983</v>
      </c>
    </row>
    <row r="391" spans="1:10" x14ac:dyDescent="0.25">
      <c r="A391" s="2">
        <v>335</v>
      </c>
      <c r="B391" s="24" t="s">
        <v>9</v>
      </c>
      <c r="C391" s="3" t="s">
        <v>984</v>
      </c>
      <c r="D391" s="5">
        <v>45875</v>
      </c>
      <c r="E391" s="3" t="s">
        <v>985</v>
      </c>
      <c r="F391" s="11">
        <v>832</v>
      </c>
      <c r="G391" s="12">
        <f t="shared" si="6"/>
        <v>832</v>
      </c>
      <c r="H391" s="28">
        <v>45880</v>
      </c>
      <c r="I391" s="3" t="s">
        <v>12</v>
      </c>
      <c r="J391" s="57" t="s">
        <v>986</v>
      </c>
    </row>
    <row r="392" spans="1:10" x14ac:dyDescent="0.25">
      <c r="A392" s="2">
        <v>371</v>
      </c>
      <c r="B392" s="3" t="s">
        <v>95</v>
      </c>
      <c r="C392" s="3" t="s">
        <v>987</v>
      </c>
      <c r="D392" s="5">
        <v>45875</v>
      </c>
      <c r="E392" s="3" t="s">
        <v>988</v>
      </c>
      <c r="F392" s="11">
        <v>59520</v>
      </c>
      <c r="G392" s="12">
        <f t="shared" si="6"/>
        <v>59520</v>
      </c>
      <c r="H392" s="28">
        <v>45894</v>
      </c>
      <c r="I392" s="3" t="s">
        <v>12</v>
      </c>
      <c r="J392" s="57" t="s">
        <v>989</v>
      </c>
    </row>
    <row r="393" spans="1:10" x14ac:dyDescent="0.25">
      <c r="A393" s="2">
        <v>402</v>
      </c>
      <c r="B393" s="3" t="s">
        <v>95</v>
      </c>
      <c r="C393" s="3" t="s">
        <v>990</v>
      </c>
      <c r="D393" s="5">
        <v>45875</v>
      </c>
      <c r="E393" s="3" t="s">
        <v>991</v>
      </c>
      <c r="F393" s="11">
        <v>18180</v>
      </c>
      <c r="G393" s="12">
        <f t="shared" si="6"/>
        <v>18180</v>
      </c>
      <c r="H393" s="28">
        <v>45911</v>
      </c>
      <c r="I393" s="3" t="s">
        <v>12</v>
      </c>
      <c r="J393" s="57" t="s">
        <v>992</v>
      </c>
    </row>
    <row r="394" spans="1:10" x14ac:dyDescent="0.25">
      <c r="A394" s="2">
        <v>400</v>
      </c>
      <c r="B394" s="3" t="s">
        <v>95</v>
      </c>
      <c r="C394" s="3" t="s">
        <v>993</v>
      </c>
      <c r="D394" s="5">
        <v>45875</v>
      </c>
      <c r="E394" s="3" t="s">
        <v>994</v>
      </c>
      <c r="F394" s="11">
        <v>59070</v>
      </c>
      <c r="G394" s="12">
        <f t="shared" si="6"/>
        <v>59070</v>
      </c>
      <c r="H394" s="28">
        <v>45910</v>
      </c>
      <c r="I394" s="3" t="s">
        <v>12</v>
      </c>
      <c r="J394" s="57" t="s">
        <v>995</v>
      </c>
    </row>
    <row r="395" spans="1:10" x14ac:dyDescent="0.25">
      <c r="A395" s="2">
        <v>362</v>
      </c>
      <c r="B395" s="3" t="s">
        <v>95</v>
      </c>
      <c r="C395" s="3" t="s">
        <v>996</v>
      </c>
      <c r="D395" s="5">
        <v>45875</v>
      </c>
      <c r="E395" s="3" t="s">
        <v>997</v>
      </c>
      <c r="F395" s="11">
        <v>32220</v>
      </c>
      <c r="G395" s="12">
        <f t="shared" si="6"/>
        <v>32220</v>
      </c>
      <c r="H395" s="28">
        <v>45890</v>
      </c>
      <c r="I395" s="3" t="s">
        <v>12</v>
      </c>
      <c r="J395" s="57" t="s">
        <v>998</v>
      </c>
    </row>
    <row r="396" spans="1:10" x14ac:dyDescent="0.25">
      <c r="A396" s="2">
        <v>361</v>
      </c>
      <c r="B396" s="3" t="s">
        <v>95</v>
      </c>
      <c r="C396" s="3" t="s">
        <v>999</v>
      </c>
      <c r="D396" s="5">
        <v>45875</v>
      </c>
      <c r="E396" s="3" t="s">
        <v>1000</v>
      </c>
      <c r="F396" s="11">
        <v>40275</v>
      </c>
      <c r="G396" s="12">
        <f t="shared" si="6"/>
        <v>40275</v>
      </c>
      <c r="H396" s="28">
        <v>45890</v>
      </c>
      <c r="I396" s="3" t="s">
        <v>12</v>
      </c>
      <c r="J396" s="57" t="s">
        <v>1001</v>
      </c>
    </row>
    <row r="397" spans="1:10" x14ac:dyDescent="0.25">
      <c r="A397" s="2">
        <v>370</v>
      </c>
      <c r="B397" s="3" t="s">
        <v>95</v>
      </c>
      <c r="C397" s="3" t="s">
        <v>1002</v>
      </c>
      <c r="D397" s="5">
        <v>45875</v>
      </c>
      <c r="E397" s="3" t="s">
        <v>1003</v>
      </c>
      <c r="F397" s="11">
        <v>3720</v>
      </c>
      <c r="G397" s="12">
        <f t="shared" si="6"/>
        <v>3720</v>
      </c>
      <c r="H397" s="28">
        <v>45894</v>
      </c>
      <c r="I397" s="3" t="s">
        <v>12</v>
      </c>
      <c r="J397" s="57" t="s">
        <v>1004</v>
      </c>
    </row>
    <row r="398" spans="1:10" x14ac:dyDescent="0.25">
      <c r="A398" s="2">
        <v>364</v>
      </c>
      <c r="B398" s="3" t="s">
        <v>95</v>
      </c>
      <c r="C398" s="3" t="s">
        <v>1005</v>
      </c>
      <c r="D398" s="5">
        <v>45875</v>
      </c>
      <c r="E398" s="3" t="s">
        <v>1006</v>
      </c>
      <c r="F398" s="11">
        <v>11160</v>
      </c>
      <c r="G398" s="12">
        <f t="shared" si="6"/>
        <v>11160</v>
      </c>
      <c r="H398" s="28">
        <v>45890</v>
      </c>
      <c r="I398" s="3" t="s">
        <v>12</v>
      </c>
      <c r="J398" s="57" t="s">
        <v>1007</v>
      </c>
    </row>
    <row r="399" spans="1:10" x14ac:dyDescent="0.25">
      <c r="A399" s="2">
        <v>363</v>
      </c>
      <c r="B399" s="3" t="s">
        <v>95</v>
      </c>
      <c r="C399" s="3" t="s">
        <v>1008</v>
      </c>
      <c r="D399" s="5">
        <v>45875</v>
      </c>
      <c r="E399" s="3" t="s">
        <v>1009</v>
      </c>
      <c r="F399" s="11">
        <v>18600</v>
      </c>
      <c r="G399" s="12">
        <f t="shared" si="6"/>
        <v>18600</v>
      </c>
      <c r="H399" s="28">
        <v>45890</v>
      </c>
      <c r="I399" s="3" t="s">
        <v>12</v>
      </c>
      <c r="J399" s="57" t="s">
        <v>1007</v>
      </c>
    </row>
    <row r="400" spans="1:10" x14ac:dyDescent="0.25">
      <c r="A400" s="2">
        <v>369</v>
      </c>
      <c r="B400" s="3" t="s">
        <v>95</v>
      </c>
      <c r="C400" s="3" t="s">
        <v>1010</v>
      </c>
      <c r="D400" s="5">
        <v>45875</v>
      </c>
      <c r="E400" s="3" t="s">
        <v>1011</v>
      </c>
      <c r="F400" s="11">
        <v>29760</v>
      </c>
      <c r="G400" s="12">
        <f t="shared" si="6"/>
        <v>29760</v>
      </c>
      <c r="H400" s="28">
        <v>45894</v>
      </c>
      <c r="I400" s="3" t="s">
        <v>12</v>
      </c>
      <c r="J400" s="57" t="s">
        <v>1012</v>
      </c>
    </row>
    <row r="401" spans="1:10" x14ac:dyDescent="0.25">
      <c r="A401" s="2">
        <v>368</v>
      </c>
      <c r="B401" s="3" t="s">
        <v>95</v>
      </c>
      <c r="C401" s="3" t="s">
        <v>1013</v>
      </c>
      <c r="D401" s="5">
        <v>45875</v>
      </c>
      <c r="E401" s="3" t="s">
        <v>1014</v>
      </c>
      <c r="F401" s="11">
        <v>74400</v>
      </c>
      <c r="G401" s="12">
        <f t="shared" si="6"/>
        <v>74400</v>
      </c>
      <c r="H401" s="28">
        <v>45894</v>
      </c>
      <c r="I401" s="3" t="s">
        <v>12</v>
      </c>
      <c r="J401" s="57" t="s">
        <v>1015</v>
      </c>
    </row>
    <row r="402" spans="1:10" x14ac:dyDescent="0.25">
      <c r="A402" s="2">
        <v>329</v>
      </c>
      <c r="B402" s="24" t="s">
        <v>9</v>
      </c>
      <c r="C402" s="3" t="s">
        <v>1016</v>
      </c>
      <c r="D402" s="5">
        <v>45875</v>
      </c>
      <c r="E402" s="3" t="s">
        <v>1017</v>
      </c>
      <c r="F402" s="11">
        <v>4050</v>
      </c>
      <c r="G402" s="12">
        <f t="shared" si="6"/>
        <v>4050</v>
      </c>
      <c r="H402" s="28">
        <v>45877</v>
      </c>
      <c r="I402" s="3" t="s">
        <v>12</v>
      </c>
      <c r="J402" s="57" t="s">
        <v>1018</v>
      </c>
    </row>
    <row r="403" spans="1:10" x14ac:dyDescent="0.25">
      <c r="A403" s="2">
        <v>347</v>
      </c>
      <c r="B403" s="3" t="s">
        <v>95</v>
      </c>
      <c r="C403" s="3" t="s">
        <v>448</v>
      </c>
      <c r="D403" s="5">
        <v>45876</v>
      </c>
      <c r="E403" s="3" t="s">
        <v>449</v>
      </c>
      <c r="F403" s="11">
        <v>15141</v>
      </c>
      <c r="G403" s="12">
        <f t="shared" si="6"/>
        <v>15141</v>
      </c>
      <c r="H403" s="28">
        <v>45886</v>
      </c>
      <c r="I403" s="3" t="s">
        <v>12</v>
      </c>
      <c r="J403" s="57" t="s">
        <v>450</v>
      </c>
    </row>
    <row r="404" spans="1:10" x14ac:dyDescent="0.25">
      <c r="A404" s="2">
        <v>333</v>
      </c>
      <c r="B404" s="3" t="s">
        <v>95</v>
      </c>
      <c r="C404" s="3" t="s">
        <v>448</v>
      </c>
      <c r="D404" s="5">
        <v>45876</v>
      </c>
      <c r="E404" s="3" t="s">
        <v>451</v>
      </c>
      <c r="F404" s="11">
        <v>7425</v>
      </c>
      <c r="G404" s="12">
        <f t="shared" si="6"/>
        <v>7425</v>
      </c>
      <c r="H404" s="28">
        <v>45879</v>
      </c>
      <c r="I404" s="3" t="s">
        <v>12</v>
      </c>
      <c r="J404" s="57" t="s">
        <v>452</v>
      </c>
    </row>
    <row r="405" spans="1:10" x14ac:dyDescent="0.25">
      <c r="A405" s="2">
        <v>341</v>
      </c>
      <c r="B405" s="3" t="s">
        <v>95</v>
      </c>
      <c r="C405" s="3" t="s">
        <v>448</v>
      </c>
      <c r="D405" s="5">
        <v>45876</v>
      </c>
      <c r="E405" s="3" t="s">
        <v>455</v>
      </c>
      <c r="F405" s="11">
        <v>937.5</v>
      </c>
      <c r="G405" s="12">
        <f t="shared" si="6"/>
        <v>937.5</v>
      </c>
      <c r="H405" s="28">
        <v>45882</v>
      </c>
      <c r="I405" s="3" t="s">
        <v>12</v>
      </c>
      <c r="J405" s="57" t="s">
        <v>456</v>
      </c>
    </row>
    <row r="406" spans="1:10" x14ac:dyDescent="0.25">
      <c r="A406" s="2">
        <v>385</v>
      </c>
      <c r="B406" s="3" t="s">
        <v>95</v>
      </c>
      <c r="C406" s="3" t="s">
        <v>448</v>
      </c>
      <c r="D406" s="5">
        <v>45876</v>
      </c>
      <c r="E406" s="3" t="s">
        <v>453</v>
      </c>
      <c r="F406" s="11">
        <v>1762.5</v>
      </c>
      <c r="G406" s="12">
        <f t="shared" si="6"/>
        <v>1762.5</v>
      </c>
      <c r="H406" s="28">
        <v>45903</v>
      </c>
      <c r="I406" s="3" t="s">
        <v>12</v>
      </c>
      <c r="J406" s="57" t="s">
        <v>454</v>
      </c>
    </row>
    <row r="407" spans="1:10" x14ac:dyDescent="0.25">
      <c r="A407" s="2">
        <v>461</v>
      </c>
      <c r="B407" s="3" t="s">
        <v>95</v>
      </c>
      <c r="C407" s="3" t="s">
        <v>1019</v>
      </c>
      <c r="D407" s="5">
        <v>45874</v>
      </c>
      <c r="E407" s="3" t="s">
        <v>1020</v>
      </c>
      <c r="F407" s="11">
        <v>80550</v>
      </c>
      <c r="G407" s="12">
        <f t="shared" si="6"/>
        <v>80550</v>
      </c>
      <c r="H407" s="28">
        <v>45939</v>
      </c>
      <c r="I407" s="3" t="s">
        <v>12</v>
      </c>
      <c r="J407" s="57" t="s">
        <v>1021</v>
      </c>
    </row>
    <row r="408" spans="1:10" x14ac:dyDescent="0.25">
      <c r="A408" s="2">
        <v>419</v>
      </c>
      <c r="B408" s="3" t="s">
        <v>95</v>
      </c>
      <c r="C408" s="3" t="s">
        <v>1022</v>
      </c>
      <c r="D408" s="5">
        <v>45874</v>
      </c>
      <c r="E408" s="3" t="s">
        <v>1023</v>
      </c>
      <c r="F408" s="11">
        <v>48330</v>
      </c>
      <c r="G408" s="12">
        <f t="shared" si="6"/>
        <v>48330</v>
      </c>
      <c r="H408" s="28">
        <v>45918</v>
      </c>
      <c r="I408" s="3" t="s">
        <v>12</v>
      </c>
      <c r="J408" s="57" t="s">
        <v>1024</v>
      </c>
    </row>
    <row r="409" spans="1:10" x14ac:dyDescent="0.25">
      <c r="A409" s="2">
        <v>459</v>
      </c>
      <c r="B409" s="3" t="s">
        <v>95</v>
      </c>
      <c r="C409" s="3" t="s">
        <v>1025</v>
      </c>
      <c r="D409" s="5">
        <v>45869</v>
      </c>
      <c r="E409" s="3" t="s">
        <v>1026</v>
      </c>
      <c r="F409" s="11">
        <v>95540</v>
      </c>
      <c r="G409" s="12">
        <f t="shared" si="6"/>
        <v>95540</v>
      </c>
      <c r="H409" s="28">
        <v>45938</v>
      </c>
      <c r="I409" s="3" t="s">
        <v>12</v>
      </c>
      <c r="J409" s="57" t="s">
        <v>1027</v>
      </c>
    </row>
    <row r="410" spans="1:10" x14ac:dyDescent="0.25">
      <c r="A410" s="2">
        <v>375</v>
      </c>
      <c r="B410" s="24" t="s">
        <v>9</v>
      </c>
      <c r="C410" s="3" t="s">
        <v>434</v>
      </c>
      <c r="D410" s="5">
        <v>45880</v>
      </c>
      <c r="E410" s="3" t="s">
        <v>437</v>
      </c>
      <c r="F410" s="11">
        <v>3480</v>
      </c>
      <c r="G410" s="12">
        <f t="shared" si="6"/>
        <v>3480</v>
      </c>
      <c r="H410" s="28">
        <v>45897</v>
      </c>
      <c r="I410" s="3" t="s">
        <v>12</v>
      </c>
      <c r="J410" s="57" t="s">
        <v>438</v>
      </c>
    </row>
    <row r="411" spans="1:10" x14ac:dyDescent="0.25">
      <c r="A411" s="2">
        <v>378</v>
      </c>
      <c r="B411" s="24" t="s">
        <v>9</v>
      </c>
      <c r="C411" s="3" t="s">
        <v>1028</v>
      </c>
      <c r="D411" s="5">
        <v>45869</v>
      </c>
      <c r="E411" s="3" t="s">
        <v>1029</v>
      </c>
      <c r="F411" s="11">
        <v>4175</v>
      </c>
      <c r="G411" s="12">
        <f t="shared" si="6"/>
        <v>4175</v>
      </c>
      <c r="H411" s="28">
        <v>45898</v>
      </c>
      <c r="I411" s="3" t="s">
        <v>12</v>
      </c>
      <c r="J411" s="57" t="s">
        <v>1030</v>
      </c>
    </row>
    <row r="412" spans="1:10" ht="60" x14ac:dyDescent="0.25">
      <c r="A412" s="2">
        <v>377</v>
      </c>
      <c r="B412" s="24" t="s">
        <v>9</v>
      </c>
      <c r="C412" s="3" t="s">
        <v>1031</v>
      </c>
      <c r="D412" s="5">
        <v>45869</v>
      </c>
      <c r="E412" s="3" t="s">
        <v>1032</v>
      </c>
      <c r="F412" s="11">
        <v>10675</v>
      </c>
      <c r="G412" s="12">
        <f t="shared" si="6"/>
        <v>10675</v>
      </c>
      <c r="H412" s="28">
        <v>45898</v>
      </c>
      <c r="I412" s="3" t="s">
        <v>12</v>
      </c>
      <c r="J412" s="57" t="s">
        <v>1033</v>
      </c>
    </row>
    <row r="413" spans="1:10" x14ac:dyDescent="0.25">
      <c r="A413" s="2">
        <v>357</v>
      </c>
      <c r="B413" s="24" t="s">
        <v>9</v>
      </c>
      <c r="C413" s="3" t="s">
        <v>439</v>
      </c>
      <c r="D413" s="5">
        <v>45877</v>
      </c>
      <c r="E413" s="3" t="s">
        <v>440</v>
      </c>
      <c r="F413" s="11">
        <v>3600</v>
      </c>
      <c r="G413" s="12">
        <f t="shared" si="6"/>
        <v>3600</v>
      </c>
      <c r="H413" s="28">
        <v>45889</v>
      </c>
      <c r="I413" s="3" t="s">
        <v>12</v>
      </c>
      <c r="J413" s="57" t="s">
        <v>441</v>
      </c>
    </row>
    <row r="414" spans="1:10" x14ac:dyDescent="0.25">
      <c r="A414" s="2">
        <v>392</v>
      </c>
      <c r="B414" s="24" t="s">
        <v>9</v>
      </c>
      <c r="C414" s="3" t="s">
        <v>439</v>
      </c>
      <c r="D414" s="5">
        <v>45877</v>
      </c>
      <c r="E414" s="3" t="s">
        <v>444</v>
      </c>
      <c r="F414" s="11">
        <v>280</v>
      </c>
      <c r="G414" s="12">
        <f t="shared" si="6"/>
        <v>280</v>
      </c>
      <c r="H414" s="28">
        <v>45907</v>
      </c>
      <c r="I414" s="3" t="s">
        <v>12</v>
      </c>
      <c r="J414" s="57" t="s">
        <v>445</v>
      </c>
    </row>
    <row r="415" spans="1:10" x14ac:dyDescent="0.25">
      <c r="A415" s="2">
        <v>348</v>
      </c>
      <c r="B415" s="24" t="s">
        <v>9</v>
      </c>
      <c r="C415" s="3" t="s">
        <v>439</v>
      </c>
      <c r="D415" s="5">
        <v>45877</v>
      </c>
      <c r="E415" s="3" t="s">
        <v>442</v>
      </c>
      <c r="F415" s="11">
        <v>450</v>
      </c>
      <c r="G415" s="12">
        <f t="shared" si="6"/>
        <v>450</v>
      </c>
      <c r="H415" s="28">
        <v>45886</v>
      </c>
      <c r="I415" s="3" t="s">
        <v>12</v>
      </c>
      <c r="J415" s="57" t="s">
        <v>443</v>
      </c>
    </row>
    <row r="416" spans="1:10" x14ac:dyDescent="0.25">
      <c r="A416" s="2">
        <v>350</v>
      </c>
      <c r="B416" s="24" t="s">
        <v>9</v>
      </c>
      <c r="C416" s="3" t="s">
        <v>425</v>
      </c>
      <c r="D416" s="5">
        <v>45882</v>
      </c>
      <c r="E416" s="3" t="s">
        <v>426</v>
      </c>
      <c r="F416" s="11">
        <v>2070</v>
      </c>
      <c r="G416" s="12">
        <f t="shared" si="6"/>
        <v>2070</v>
      </c>
      <c r="H416" s="28">
        <v>45886</v>
      </c>
      <c r="I416" s="3" t="s">
        <v>12</v>
      </c>
      <c r="J416" s="57" t="s">
        <v>427</v>
      </c>
    </row>
    <row r="417" spans="1:10" x14ac:dyDescent="0.25">
      <c r="A417" s="2">
        <v>358</v>
      </c>
      <c r="B417" s="24" t="s">
        <v>9</v>
      </c>
      <c r="C417" s="3" t="s">
        <v>439</v>
      </c>
      <c r="D417" s="5">
        <v>45877</v>
      </c>
      <c r="E417" s="3" t="s">
        <v>446</v>
      </c>
      <c r="F417" s="11">
        <v>2980</v>
      </c>
      <c r="G417" s="12">
        <f t="shared" si="6"/>
        <v>2980</v>
      </c>
      <c r="H417" s="28">
        <v>45889</v>
      </c>
      <c r="I417" s="3" t="s">
        <v>12</v>
      </c>
      <c r="J417" s="57" t="s">
        <v>447</v>
      </c>
    </row>
    <row r="418" spans="1:10" x14ac:dyDescent="0.25">
      <c r="A418" s="2">
        <v>396</v>
      </c>
      <c r="B418" s="24" t="s">
        <v>9</v>
      </c>
      <c r="C418" s="3" t="s">
        <v>425</v>
      </c>
      <c r="D418" s="5">
        <v>45882</v>
      </c>
      <c r="E418" s="3" t="s">
        <v>432</v>
      </c>
      <c r="F418" s="11">
        <v>660</v>
      </c>
      <c r="G418" s="12">
        <f t="shared" si="6"/>
        <v>660</v>
      </c>
      <c r="H418" s="28">
        <v>45908</v>
      </c>
      <c r="I418" s="3" t="s">
        <v>12</v>
      </c>
      <c r="J418" s="57" t="s">
        <v>433</v>
      </c>
    </row>
    <row r="419" spans="1:10" x14ac:dyDescent="0.25">
      <c r="A419" s="2">
        <v>352</v>
      </c>
      <c r="B419" s="24" t="s">
        <v>9</v>
      </c>
      <c r="C419" s="3" t="s">
        <v>425</v>
      </c>
      <c r="D419" s="5">
        <v>45882</v>
      </c>
      <c r="E419" s="3" t="s">
        <v>430</v>
      </c>
      <c r="F419" s="11">
        <v>240.2</v>
      </c>
      <c r="G419" s="12">
        <f t="shared" si="6"/>
        <v>240.2</v>
      </c>
      <c r="H419" s="28">
        <v>45888</v>
      </c>
      <c r="I419" s="3" t="s">
        <v>12</v>
      </c>
      <c r="J419" s="57" t="s">
        <v>431</v>
      </c>
    </row>
    <row r="420" spans="1:10" x14ac:dyDescent="0.25">
      <c r="A420" s="2">
        <v>429</v>
      </c>
      <c r="B420" s="24" t="s">
        <v>9</v>
      </c>
      <c r="C420" s="3" t="s">
        <v>1034</v>
      </c>
      <c r="D420" s="5">
        <v>45872</v>
      </c>
      <c r="E420" s="3" t="s">
        <v>1035</v>
      </c>
      <c r="F420" s="11">
        <v>1400</v>
      </c>
      <c r="G420" s="12">
        <f t="shared" si="6"/>
        <v>1400</v>
      </c>
      <c r="H420" s="28">
        <v>45924</v>
      </c>
      <c r="I420" s="3" t="s">
        <v>12</v>
      </c>
      <c r="J420" s="57" t="s">
        <v>1036</v>
      </c>
    </row>
    <row r="421" spans="1:10" x14ac:dyDescent="0.25">
      <c r="A421" s="2">
        <v>349</v>
      </c>
      <c r="B421" s="24" t="s">
        <v>9</v>
      </c>
      <c r="C421" s="3" t="s">
        <v>425</v>
      </c>
      <c r="D421" s="5">
        <v>45882</v>
      </c>
      <c r="E421" s="3" t="s">
        <v>428</v>
      </c>
      <c r="F421" s="11">
        <v>2850</v>
      </c>
      <c r="G421" s="12">
        <f t="shared" si="6"/>
        <v>2850</v>
      </c>
      <c r="H421" s="28">
        <v>45886</v>
      </c>
      <c r="I421" s="3" t="s">
        <v>12</v>
      </c>
      <c r="J421" s="57" t="s">
        <v>429</v>
      </c>
    </row>
    <row r="422" spans="1:10" x14ac:dyDescent="0.25">
      <c r="A422" s="2">
        <v>382</v>
      </c>
      <c r="B422" s="3" t="s">
        <v>95</v>
      </c>
      <c r="C422" s="3" t="s">
        <v>1037</v>
      </c>
      <c r="D422" s="5">
        <v>45882</v>
      </c>
      <c r="E422" s="3" t="s">
        <v>1038</v>
      </c>
      <c r="F422" s="11">
        <v>4950</v>
      </c>
      <c r="G422" s="12">
        <f t="shared" si="6"/>
        <v>4950</v>
      </c>
      <c r="H422" s="28">
        <v>45901</v>
      </c>
      <c r="I422" s="3" t="s">
        <v>12</v>
      </c>
      <c r="J422" s="57" t="s">
        <v>1039</v>
      </c>
    </row>
    <row r="423" spans="1:10" x14ac:dyDescent="0.25">
      <c r="A423" s="2">
        <v>443</v>
      </c>
      <c r="B423" s="3" t="s">
        <v>95</v>
      </c>
      <c r="C423" s="3" t="s">
        <v>1040</v>
      </c>
      <c r="D423" s="5">
        <v>45882</v>
      </c>
      <c r="E423" s="3" t="s">
        <v>1041</v>
      </c>
      <c r="F423" s="11">
        <v>21000</v>
      </c>
      <c r="G423" s="12">
        <f t="shared" si="6"/>
        <v>21000</v>
      </c>
      <c r="H423" s="28">
        <v>45931</v>
      </c>
      <c r="I423" s="3" t="s">
        <v>12</v>
      </c>
      <c r="J423" s="57" t="s">
        <v>1042</v>
      </c>
    </row>
    <row r="424" spans="1:10" x14ac:dyDescent="0.25">
      <c r="A424" s="2">
        <v>351</v>
      </c>
      <c r="B424" s="3" t="s">
        <v>95</v>
      </c>
      <c r="C424" s="3" t="s">
        <v>420</v>
      </c>
      <c r="D424" s="5">
        <v>45883</v>
      </c>
      <c r="E424" s="3" t="s">
        <v>423</v>
      </c>
      <c r="F424" s="11">
        <v>30</v>
      </c>
      <c r="G424" s="12">
        <f t="shared" si="6"/>
        <v>30</v>
      </c>
      <c r="H424" s="28">
        <v>45887</v>
      </c>
      <c r="I424" s="3" t="s">
        <v>12</v>
      </c>
      <c r="J424" s="57" t="s">
        <v>424</v>
      </c>
    </row>
    <row r="425" spans="1:10" x14ac:dyDescent="0.25">
      <c r="A425" s="2">
        <v>359</v>
      </c>
      <c r="B425" s="3" t="s">
        <v>95</v>
      </c>
      <c r="C425" s="3" t="s">
        <v>420</v>
      </c>
      <c r="D425" s="5">
        <v>45883</v>
      </c>
      <c r="E425" s="3" t="s">
        <v>421</v>
      </c>
      <c r="F425" s="11">
        <v>506</v>
      </c>
      <c r="G425" s="12">
        <f t="shared" si="6"/>
        <v>506</v>
      </c>
      <c r="H425" s="28">
        <v>45889</v>
      </c>
      <c r="I425" s="3" t="s">
        <v>12</v>
      </c>
      <c r="J425" s="57" t="s">
        <v>422</v>
      </c>
    </row>
    <row r="426" spans="1:10" x14ac:dyDescent="0.25">
      <c r="A426" s="2">
        <v>409</v>
      </c>
      <c r="B426" s="24" t="s">
        <v>9</v>
      </c>
      <c r="C426" s="3" t="s">
        <v>1043</v>
      </c>
      <c r="D426" s="5">
        <v>45880</v>
      </c>
      <c r="E426" s="3" t="s">
        <v>1044</v>
      </c>
      <c r="F426" s="11">
        <v>7000</v>
      </c>
      <c r="G426" s="12">
        <f t="shared" si="6"/>
        <v>7000</v>
      </c>
      <c r="H426" s="28">
        <v>45914</v>
      </c>
      <c r="I426" s="3" t="s">
        <v>12</v>
      </c>
      <c r="J426" s="57" t="s">
        <v>1045</v>
      </c>
    </row>
    <row r="427" spans="1:10" x14ac:dyDescent="0.25">
      <c r="A427" s="2">
        <v>454</v>
      </c>
      <c r="B427" s="3" t="s">
        <v>95</v>
      </c>
      <c r="C427" s="3" t="s">
        <v>1046</v>
      </c>
      <c r="D427" s="5">
        <v>45884</v>
      </c>
      <c r="E427" s="3" t="s">
        <v>1047</v>
      </c>
      <c r="F427" s="11">
        <v>34600</v>
      </c>
      <c r="G427" s="12">
        <f t="shared" si="6"/>
        <v>34600</v>
      </c>
      <c r="H427" s="28">
        <v>45936</v>
      </c>
      <c r="I427" s="3" t="s">
        <v>12</v>
      </c>
      <c r="J427" s="57" t="s">
        <v>1048</v>
      </c>
    </row>
    <row r="428" spans="1:10" x14ac:dyDescent="0.25">
      <c r="A428" s="2">
        <v>25</v>
      </c>
      <c r="B428" s="24" t="s">
        <v>9</v>
      </c>
      <c r="C428" s="3" t="s">
        <v>415</v>
      </c>
      <c r="D428" s="5">
        <v>45886</v>
      </c>
      <c r="E428" s="63" t="s">
        <v>417</v>
      </c>
      <c r="F428" s="11">
        <v>1050</v>
      </c>
      <c r="G428" s="12">
        <f t="shared" si="6"/>
        <v>0</v>
      </c>
      <c r="H428" s="4" t="s">
        <v>33</v>
      </c>
      <c r="I428" s="3" t="s">
        <v>12</v>
      </c>
      <c r="J428" s="57"/>
    </row>
    <row r="429" spans="1:10" x14ac:dyDescent="0.25">
      <c r="A429" s="2">
        <v>360</v>
      </c>
      <c r="B429" s="24" t="s">
        <v>9</v>
      </c>
      <c r="C429" s="3" t="s">
        <v>415</v>
      </c>
      <c r="D429" s="5">
        <v>45886</v>
      </c>
      <c r="E429" s="3" t="s">
        <v>418</v>
      </c>
      <c r="F429" s="11">
        <v>3970</v>
      </c>
      <c r="G429" s="12">
        <f t="shared" si="6"/>
        <v>3970</v>
      </c>
      <c r="H429" s="28">
        <v>45889</v>
      </c>
      <c r="I429" s="3" t="s">
        <v>12</v>
      </c>
      <c r="J429" s="57" t="s">
        <v>419</v>
      </c>
    </row>
    <row r="430" spans="1:10" x14ac:dyDescent="0.25">
      <c r="A430" s="2">
        <v>365</v>
      </c>
      <c r="B430" s="24" t="s">
        <v>9</v>
      </c>
      <c r="C430" s="3" t="s">
        <v>1049</v>
      </c>
      <c r="D430" s="5">
        <v>45889</v>
      </c>
      <c r="E430" s="3" t="s">
        <v>1050</v>
      </c>
      <c r="F430" s="11">
        <v>420</v>
      </c>
      <c r="G430" s="12">
        <f t="shared" si="6"/>
        <v>420</v>
      </c>
      <c r="H430" s="28">
        <v>45893</v>
      </c>
      <c r="I430" s="3" t="s">
        <v>12</v>
      </c>
      <c r="J430" s="57" t="s">
        <v>1051</v>
      </c>
    </row>
    <row r="431" spans="1:10" x14ac:dyDescent="0.25">
      <c r="A431" s="2">
        <v>374</v>
      </c>
      <c r="B431" s="24" t="s">
        <v>9</v>
      </c>
      <c r="C431" s="3" t="s">
        <v>434</v>
      </c>
      <c r="D431" s="5">
        <v>45880</v>
      </c>
      <c r="E431" s="3" t="s">
        <v>435</v>
      </c>
      <c r="F431" s="11">
        <v>180</v>
      </c>
      <c r="G431" s="12">
        <f t="shared" si="6"/>
        <v>180</v>
      </c>
      <c r="H431" s="28">
        <v>45897</v>
      </c>
      <c r="I431" s="3" t="s">
        <v>12</v>
      </c>
      <c r="J431" s="57" t="s">
        <v>436</v>
      </c>
    </row>
    <row r="432" spans="1:10" x14ac:dyDescent="0.25">
      <c r="A432" s="2">
        <v>380</v>
      </c>
      <c r="B432" s="24" t="s">
        <v>9</v>
      </c>
      <c r="C432" s="3" t="s">
        <v>1052</v>
      </c>
      <c r="D432" s="5">
        <v>45889</v>
      </c>
      <c r="E432" s="3" t="s">
        <v>1053</v>
      </c>
      <c r="F432" s="11">
        <v>1260</v>
      </c>
      <c r="G432" s="12">
        <f t="shared" si="6"/>
        <v>1260</v>
      </c>
      <c r="H432" s="28">
        <v>45898</v>
      </c>
      <c r="I432" s="3" t="s">
        <v>12</v>
      </c>
      <c r="J432" s="57" t="s">
        <v>1054</v>
      </c>
    </row>
    <row r="433" spans="1:10" x14ac:dyDescent="0.25">
      <c r="A433" s="2">
        <v>24</v>
      </c>
      <c r="B433" s="24" t="s">
        <v>9</v>
      </c>
      <c r="C433" s="3" t="s">
        <v>415</v>
      </c>
      <c r="D433" s="5">
        <v>45886</v>
      </c>
      <c r="E433" s="41" t="s">
        <v>416</v>
      </c>
      <c r="F433" s="11">
        <v>1800</v>
      </c>
      <c r="G433" s="12">
        <f t="shared" si="6"/>
        <v>1800</v>
      </c>
      <c r="H433" s="4" t="s">
        <v>1744</v>
      </c>
      <c r="I433" s="3" t="s">
        <v>12</v>
      </c>
      <c r="J433" s="57">
        <v>2590018305</v>
      </c>
    </row>
    <row r="434" spans="1:10" x14ac:dyDescent="0.25">
      <c r="A434" s="2">
        <v>428</v>
      </c>
      <c r="B434" s="3" t="s">
        <v>95</v>
      </c>
      <c r="C434" s="3" t="s">
        <v>1055</v>
      </c>
      <c r="D434" s="5">
        <v>45891</v>
      </c>
      <c r="E434" s="3" t="s">
        <v>1056</v>
      </c>
      <c r="F434" s="11">
        <v>14600</v>
      </c>
      <c r="G434" s="12">
        <f t="shared" si="6"/>
        <v>14600</v>
      </c>
      <c r="H434" s="28">
        <v>45923</v>
      </c>
      <c r="I434" s="3" t="s">
        <v>12</v>
      </c>
      <c r="J434" s="57" t="s">
        <v>1057</v>
      </c>
    </row>
    <row r="435" spans="1:10" x14ac:dyDescent="0.25">
      <c r="A435" s="2">
        <v>386</v>
      </c>
      <c r="B435" s="24" t="s">
        <v>9</v>
      </c>
      <c r="C435" s="3" t="s">
        <v>407</v>
      </c>
      <c r="D435" s="5">
        <v>45887</v>
      </c>
      <c r="E435" s="3" t="s">
        <v>408</v>
      </c>
      <c r="F435" s="11">
        <v>1800</v>
      </c>
      <c r="G435" s="12">
        <f t="shared" si="6"/>
        <v>1800</v>
      </c>
      <c r="H435" s="28">
        <v>45903</v>
      </c>
      <c r="I435" s="3" t="s">
        <v>12</v>
      </c>
      <c r="J435" s="57" t="s">
        <v>409</v>
      </c>
    </row>
    <row r="436" spans="1:10" x14ac:dyDescent="0.25">
      <c r="A436" s="2">
        <v>393</v>
      </c>
      <c r="B436" s="24" t="s">
        <v>9</v>
      </c>
      <c r="C436" s="3" t="s">
        <v>407</v>
      </c>
      <c r="D436" s="5">
        <v>45887</v>
      </c>
      <c r="E436" s="3" t="s">
        <v>410</v>
      </c>
      <c r="F436" s="11">
        <v>4110</v>
      </c>
      <c r="G436" s="12">
        <f t="shared" si="6"/>
        <v>4110</v>
      </c>
      <c r="H436" s="28">
        <v>45907</v>
      </c>
      <c r="I436" s="3" t="s">
        <v>12</v>
      </c>
      <c r="J436" s="57" t="s">
        <v>411</v>
      </c>
    </row>
    <row r="437" spans="1:10" x14ac:dyDescent="0.25">
      <c r="A437" s="2">
        <v>379</v>
      </c>
      <c r="B437" s="24" t="s">
        <v>9</v>
      </c>
      <c r="C437" s="3" t="s">
        <v>407</v>
      </c>
      <c r="D437" s="5">
        <v>45887</v>
      </c>
      <c r="E437" s="3" t="s">
        <v>412</v>
      </c>
      <c r="F437" s="11">
        <v>2220</v>
      </c>
      <c r="G437" s="12">
        <f t="shared" si="6"/>
        <v>2220</v>
      </c>
      <c r="H437" s="28">
        <v>45898</v>
      </c>
      <c r="I437" s="3" t="s">
        <v>12</v>
      </c>
      <c r="J437" s="57" t="s">
        <v>413</v>
      </c>
    </row>
    <row r="438" spans="1:10" x14ac:dyDescent="0.25">
      <c r="A438" s="2">
        <v>23</v>
      </c>
      <c r="B438" s="24" t="s">
        <v>9</v>
      </c>
      <c r="C438" s="3" t="s">
        <v>407</v>
      </c>
      <c r="D438" s="5">
        <v>45887</v>
      </c>
      <c r="E438" s="63" t="s">
        <v>414</v>
      </c>
      <c r="F438" s="11">
        <v>1860</v>
      </c>
      <c r="G438" s="12">
        <f t="shared" si="6"/>
        <v>0</v>
      </c>
      <c r="H438" s="4" t="s">
        <v>33</v>
      </c>
      <c r="I438" s="3" t="s">
        <v>12</v>
      </c>
      <c r="J438" s="57"/>
    </row>
    <row r="439" spans="1:10" x14ac:dyDescent="0.25">
      <c r="A439" s="2">
        <v>406</v>
      </c>
      <c r="B439" s="24" t="s">
        <v>9</v>
      </c>
      <c r="C439" s="3" t="s">
        <v>1058</v>
      </c>
      <c r="D439" s="5">
        <v>45876</v>
      </c>
      <c r="E439" s="3" t="s">
        <v>1059</v>
      </c>
      <c r="F439" s="11">
        <v>850</v>
      </c>
      <c r="G439" s="12">
        <f t="shared" si="6"/>
        <v>850</v>
      </c>
      <c r="H439" s="28">
        <v>45912</v>
      </c>
      <c r="I439" s="3" t="s">
        <v>12</v>
      </c>
      <c r="J439" s="57" t="s">
        <v>1060</v>
      </c>
    </row>
    <row r="440" spans="1:10" x14ac:dyDescent="0.25">
      <c r="A440" s="2">
        <v>373</v>
      </c>
      <c r="B440" s="24" t="s">
        <v>9</v>
      </c>
      <c r="C440" s="3" t="s">
        <v>400</v>
      </c>
      <c r="D440" s="5">
        <v>45893</v>
      </c>
      <c r="E440" s="3" t="s">
        <v>405</v>
      </c>
      <c r="F440" s="11">
        <v>606.79999999999995</v>
      </c>
      <c r="G440" s="12">
        <f t="shared" si="6"/>
        <v>606.79999999999995</v>
      </c>
      <c r="H440" s="28">
        <v>45895</v>
      </c>
      <c r="I440" s="3" t="s">
        <v>12</v>
      </c>
      <c r="J440" s="57" t="s">
        <v>406</v>
      </c>
    </row>
    <row r="441" spans="1:10" x14ac:dyDescent="0.25">
      <c r="A441" s="2">
        <v>376</v>
      </c>
      <c r="B441" s="24" t="s">
        <v>9</v>
      </c>
      <c r="C441" s="3" t="s">
        <v>400</v>
      </c>
      <c r="D441" s="5">
        <v>45893</v>
      </c>
      <c r="E441" s="3" t="s">
        <v>401</v>
      </c>
      <c r="F441" s="11">
        <v>372</v>
      </c>
      <c r="G441" s="12">
        <f t="shared" si="6"/>
        <v>372</v>
      </c>
      <c r="H441" s="28">
        <v>45897</v>
      </c>
      <c r="I441" s="3" t="s">
        <v>12</v>
      </c>
      <c r="J441" s="57" t="s">
        <v>402</v>
      </c>
    </row>
    <row r="442" spans="1:10" x14ac:dyDescent="0.25">
      <c r="A442" s="2">
        <v>22</v>
      </c>
      <c r="B442" s="24" t="s">
        <v>9</v>
      </c>
      <c r="C442" s="3" t="s">
        <v>1061</v>
      </c>
      <c r="D442" s="5">
        <v>45895</v>
      </c>
      <c r="E442" s="63" t="s">
        <v>1062</v>
      </c>
      <c r="F442" s="11">
        <v>1000</v>
      </c>
      <c r="G442" s="12">
        <f t="shared" si="6"/>
        <v>0</v>
      </c>
      <c r="H442" s="4" t="s">
        <v>33</v>
      </c>
      <c r="I442" s="3" t="s">
        <v>12</v>
      </c>
      <c r="J442" s="57"/>
    </row>
    <row r="443" spans="1:10" x14ac:dyDescent="0.25">
      <c r="A443" s="2">
        <v>395</v>
      </c>
      <c r="B443" s="24" t="s">
        <v>9</v>
      </c>
      <c r="C443" s="3" t="s">
        <v>381</v>
      </c>
      <c r="D443" s="5">
        <v>45897</v>
      </c>
      <c r="E443" s="3" t="s">
        <v>386</v>
      </c>
      <c r="F443" s="11">
        <v>2691.25</v>
      </c>
      <c r="G443" s="12">
        <f t="shared" si="6"/>
        <v>2691.25</v>
      </c>
      <c r="H443" s="28">
        <v>45907</v>
      </c>
      <c r="I443" s="3" t="s">
        <v>12</v>
      </c>
      <c r="J443" s="57" t="s">
        <v>387</v>
      </c>
    </row>
    <row r="444" spans="1:10" x14ac:dyDescent="0.25">
      <c r="A444" s="2">
        <v>420</v>
      </c>
      <c r="B444" s="24" t="s">
        <v>9</v>
      </c>
      <c r="C444" s="3" t="s">
        <v>381</v>
      </c>
      <c r="D444" s="5">
        <v>45897</v>
      </c>
      <c r="E444" s="3" t="s">
        <v>382</v>
      </c>
      <c r="F444" s="11">
        <v>4040</v>
      </c>
      <c r="G444" s="12">
        <f t="shared" si="6"/>
        <v>4040</v>
      </c>
      <c r="H444" s="28">
        <v>45918</v>
      </c>
      <c r="I444" s="3" t="s">
        <v>12</v>
      </c>
      <c r="J444" s="57" t="s">
        <v>383</v>
      </c>
    </row>
    <row r="445" spans="1:10" x14ac:dyDescent="0.25">
      <c r="A445" s="2">
        <v>398</v>
      </c>
      <c r="B445" s="24" t="s">
        <v>9</v>
      </c>
      <c r="C445" s="3" t="s">
        <v>381</v>
      </c>
      <c r="D445" s="5">
        <v>45897</v>
      </c>
      <c r="E445" s="3" t="s">
        <v>384</v>
      </c>
      <c r="F445" s="11">
        <v>161.25</v>
      </c>
      <c r="G445" s="12">
        <f t="shared" si="6"/>
        <v>161.25</v>
      </c>
      <c r="H445" s="28">
        <v>45909</v>
      </c>
      <c r="I445" s="3" t="s">
        <v>12</v>
      </c>
      <c r="J445" s="57" t="s">
        <v>385</v>
      </c>
    </row>
    <row r="446" spans="1:10" x14ac:dyDescent="0.25">
      <c r="A446" s="2">
        <v>387</v>
      </c>
      <c r="B446" s="24" t="s">
        <v>9</v>
      </c>
      <c r="C446" s="3" t="s">
        <v>1063</v>
      </c>
      <c r="D446" s="5">
        <v>45891</v>
      </c>
      <c r="E446" s="3" t="s">
        <v>1064</v>
      </c>
      <c r="F446" s="11">
        <v>299.39999999999998</v>
      </c>
      <c r="G446" s="12">
        <f t="shared" si="6"/>
        <v>299.39999999999998</v>
      </c>
      <c r="H446" s="28">
        <v>45903</v>
      </c>
      <c r="I446" s="3" t="s">
        <v>12</v>
      </c>
      <c r="J446" s="57" t="s">
        <v>1065</v>
      </c>
    </row>
    <row r="447" spans="1:10" x14ac:dyDescent="0.25">
      <c r="A447" s="2">
        <v>394</v>
      </c>
      <c r="B447" s="24" t="s">
        <v>9</v>
      </c>
      <c r="C447" s="3" t="s">
        <v>400</v>
      </c>
      <c r="D447" s="5">
        <v>45893</v>
      </c>
      <c r="E447" s="3" t="s">
        <v>403</v>
      </c>
      <c r="F447" s="11">
        <v>1070</v>
      </c>
      <c r="G447" s="12">
        <f t="shared" si="6"/>
        <v>1070</v>
      </c>
      <c r="H447" s="28">
        <v>45907</v>
      </c>
      <c r="I447" s="3" t="s">
        <v>12</v>
      </c>
      <c r="J447" s="57" t="s">
        <v>404</v>
      </c>
    </row>
    <row r="448" spans="1:10" x14ac:dyDescent="0.25">
      <c r="A448" s="2">
        <v>614</v>
      </c>
      <c r="B448" s="24" t="s">
        <v>9</v>
      </c>
      <c r="C448" s="24" t="s">
        <v>1545</v>
      </c>
      <c r="D448" s="7">
        <v>45978</v>
      </c>
      <c r="E448" s="44" t="s">
        <v>1594</v>
      </c>
      <c r="F448" s="12">
        <v>578.20000000000005</v>
      </c>
      <c r="G448" s="12">
        <f t="shared" si="6"/>
        <v>578.20000000000005</v>
      </c>
      <c r="H448" s="30">
        <v>45980</v>
      </c>
      <c r="I448" s="24"/>
      <c r="J448" s="56">
        <v>2590016141</v>
      </c>
    </row>
    <row r="449" spans="1:10" x14ac:dyDescent="0.25">
      <c r="A449" s="2">
        <v>399</v>
      </c>
      <c r="B449" s="24" t="s">
        <v>9</v>
      </c>
      <c r="C449" s="3" t="s">
        <v>1066</v>
      </c>
      <c r="D449" s="5">
        <v>45903</v>
      </c>
      <c r="E449" s="3" t="s">
        <v>1067</v>
      </c>
      <c r="F449" s="11">
        <v>710</v>
      </c>
      <c r="G449" s="12">
        <f t="shared" ref="G449:G512" si="7">IF(J449&gt;0,F449,0)</f>
        <v>710</v>
      </c>
      <c r="H449" s="28">
        <v>45909</v>
      </c>
      <c r="I449" s="3" t="s">
        <v>12</v>
      </c>
      <c r="J449" s="57" t="s">
        <v>1068</v>
      </c>
    </row>
    <row r="450" spans="1:10" x14ac:dyDescent="0.25">
      <c r="A450" s="2">
        <v>391</v>
      </c>
      <c r="B450" s="24" t="s">
        <v>9</v>
      </c>
      <c r="C450" s="3" t="s">
        <v>388</v>
      </c>
      <c r="D450" s="5">
        <v>45895</v>
      </c>
      <c r="E450" s="3" t="s">
        <v>390</v>
      </c>
      <c r="F450" s="11">
        <v>4891.5</v>
      </c>
      <c r="G450" s="12">
        <f t="shared" si="7"/>
        <v>4891.5</v>
      </c>
      <c r="H450" s="28">
        <v>45904</v>
      </c>
      <c r="I450" s="3" t="s">
        <v>12</v>
      </c>
      <c r="J450" s="57" t="s">
        <v>391</v>
      </c>
    </row>
    <row r="451" spans="1:10" x14ac:dyDescent="0.25">
      <c r="A451" s="2">
        <v>21</v>
      </c>
      <c r="B451" s="24" t="s">
        <v>9</v>
      </c>
      <c r="C451" s="3" t="s">
        <v>388</v>
      </c>
      <c r="D451" s="5">
        <v>45895</v>
      </c>
      <c r="E451" s="63" t="s">
        <v>389</v>
      </c>
      <c r="F451" s="11">
        <v>1155</v>
      </c>
      <c r="G451" s="12">
        <f t="shared" si="7"/>
        <v>0</v>
      </c>
      <c r="H451" s="4" t="s">
        <v>33</v>
      </c>
      <c r="I451" s="3" t="s">
        <v>12</v>
      </c>
      <c r="J451" s="57"/>
    </row>
    <row r="452" spans="1:10" x14ac:dyDescent="0.25">
      <c r="A452" s="2">
        <v>421</v>
      </c>
      <c r="B452" s="24" t="s">
        <v>9</v>
      </c>
      <c r="C452" s="3" t="s">
        <v>1069</v>
      </c>
      <c r="D452" s="5">
        <v>45897</v>
      </c>
      <c r="E452" s="3" t="s">
        <v>1070</v>
      </c>
      <c r="F452" s="11">
        <v>160</v>
      </c>
      <c r="G452" s="12">
        <f t="shared" si="7"/>
        <v>160</v>
      </c>
      <c r="H452" s="28">
        <v>45918</v>
      </c>
      <c r="I452" s="3" t="s">
        <v>12</v>
      </c>
      <c r="J452" s="57" t="s">
        <v>1071</v>
      </c>
    </row>
    <row r="453" spans="1:10" x14ac:dyDescent="0.25">
      <c r="A453" s="2">
        <v>401</v>
      </c>
      <c r="B453" s="24" t="s">
        <v>9</v>
      </c>
      <c r="C453" s="3" t="s">
        <v>1072</v>
      </c>
      <c r="D453" s="26">
        <v>45903</v>
      </c>
      <c r="E453" s="3" t="s">
        <v>1073</v>
      </c>
      <c r="F453" s="27">
        <v>3950</v>
      </c>
      <c r="G453" s="12">
        <f t="shared" si="7"/>
        <v>3950</v>
      </c>
      <c r="H453" s="28">
        <v>45910</v>
      </c>
      <c r="I453" s="3" t="s">
        <v>12</v>
      </c>
      <c r="J453" s="57" t="s">
        <v>1074</v>
      </c>
    </row>
    <row r="454" spans="1:10" x14ac:dyDescent="0.25">
      <c r="A454" s="2">
        <v>20</v>
      </c>
      <c r="B454" s="24" t="s">
        <v>9</v>
      </c>
      <c r="C454" s="25" t="s">
        <v>375</v>
      </c>
      <c r="D454" s="26">
        <v>45902</v>
      </c>
      <c r="E454" s="48" t="s">
        <v>376</v>
      </c>
      <c r="F454" s="27">
        <v>1875</v>
      </c>
      <c r="G454" s="12">
        <f t="shared" si="7"/>
        <v>0</v>
      </c>
      <c r="H454" s="53" t="s">
        <v>33</v>
      </c>
      <c r="I454" s="25" t="s">
        <v>12</v>
      </c>
      <c r="J454" s="58"/>
    </row>
    <row r="455" spans="1:10" x14ac:dyDescent="0.25">
      <c r="A455" s="2">
        <v>408</v>
      </c>
      <c r="B455" s="24" t="s">
        <v>9</v>
      </c>
      <c r="C455" s="25" t="s">
        <v>375</v>
      </c>
      <c r="D455" s="26">
        <v>45902</v>
      </c>
      <c r="E455" s="25" t="s">
        <v>377</v>
      </c>
      <c r="F455" s="27">
        <v>480</v>
      </c>
      <c r="G455" s="12">
        <f t="shared" si="7"/>
        <v>480</v>
      </c>
      <c r="H455" s="32">
        <v>45912</v>
      </c>
      <c r="I455" s="25" t="s">
        <v>12</v>
      </c>
      <c r="J455" s="58" t="s">
        <v>378</v>
      </c>
    </row>
    <row r="456" spans="1:10" x14ac:dyDescent="0.25">
      <c r="A456" s="2">
        <v>407</v>
      </c>
      <c r="B456" s="24" t="s">
        <v>9</v>
      </c>
      <c r="C456" s="25" t="s">
        <v>375</v>
      </c>
      <c r="D456" s="26">
        <v>45902</v>
      </c>
      <c r="E456" s="25" t="s">
        <v>379</v>
      </c>
      <c r="F456" s="27">
        <v>550</v>
      </c>
      <c r="G456" s="12">
        <f t="shared" si="7"/>
        <v>550</v>
      </c>
      <c r="H456" s="32">
        <v>45912</v>
      </c>
      <c r="I456" s="25" t="s">
        <v>12</v>
      </c>
      <c r="J456" s="58" t="s">
        <v>380</v>
      </c>
    </row>
    <row r="457" spans="1:10" x14ac:dyDescent="0.25">
      <c r="A457" s="2">
        <v>426</v>
      </c>
      <c r="B457" s="24" t="s">
        <v>9</v>
      </c>
      <c r="C457" s="25" t="s">
        <v>368</v>
      </c>
      <c r="D457" s="26">
        <v>45903</v>
      </c>
      <c r="E457" s="25" t="s">
        <v>373</v>
      </c>
      <c r="F457" s="27">
        <v>2044.24</v>
      </c>
      <c r="G457" s="12">
        <f t="shared" si="7"/>
        <v>2044.24</v>
      </c>
      <c r="H457" s="32">
        <v>45921</v>
      </c>
      <c r="I457" s="25" t="s">
        <v>12</v>
      </c>
      <c r="J457" s="58" t="s">
        <v>374</v>
      </c>
    </row>
    <row r="458" spans="1:10" x14ac:dyDescent="0.25">
      <c r="A458" s="2">
        <v>417</v>
      </c>
      <c r="B458" s="24" t="s">
        <v>9</v>
      </c>
      <c r="C458" s="25" t="s">
        <v>1075</v>
      </c>
      <c r="D458" s="26">
        <v>45904</v>
      </c>
      <c r="E458" s="25" t="s">
        <v>1076</v>
      </c>
      <c r="F458" s="27">
        <v>400</v>
      </c>
      <c r="G458" s="12">
        <f t="shared" si="7"/>
        <v>400</v>
      </c>
      <c r="H458" s="32">
        <v>45917</v>
      </c>
      <c r="I458" s="25" t="s">
        <v>12</v>
      </c>
      <c r="J458" s="58" t="s">
        <v>1077</v>
      </c>
    </row>
    <row r="459" spans="1:10" x14ac:dyDescent="0.25">
      <c r="A459" s="2">
        <v>410</v>
      </c>
      <c r="B459" s="24" t="s">
        <v>9</v>
      </c>
      <c r="C459" s="25" t="s">
        <v>1078</v>
      </c>
      <c r="D459" s="26">
        <v>45910</v>
      </c>
      <c r="E459" s="25" t="s">
        <v>1079</v>
      </c>
      <c r="F459" s="27">
        <v>3825</v>
      </c>
      <c r="G459" s="12">
        <f t="shared" si="7"/>
        <v>3825</v>
      </c>
      <c r="H459" s="32">
        <v>45914</v>
      </c>
      <c r="I459" s="25" t="s">
        <v>12</v>
      </c>
      <c r="J459" s="58" t="s">
        <v>1080</v>
      </c>
    </row>
    <row r="460" spans="1:10" x14ac:dyDescent="0.25">
      <c r="A460" s="2">
        <v>425</v>
      </c>
      <c r="B460" s="24" t="s">
        <v>9</v>
      </c>
      <c r="C460" s="25" t="s">
        <v>393</v>
      </c>
      <c r="D460" s="26">
        <v>45895</v>
      </c>
      <c r="E460" s="25" t="s">
        <v>398</v>
      </c>
      <c r="F460" s="27">
        <v>690</v>
      </c>
      <c r="G460" s="12">
        <f t="shared" si="7"/>
        <v>690</v>
      </c>
      <c r="H460" s="32">
        <v>45921</v>
      </c>
      <c r="I460" s="25" t="s">
        <v>12</v>
      </c>
      <c r="J460" s="58" t="s">
        <v>399</v>
      </c>
    </row>
    <row r="461" spans="1:10" x14ac:dyDescent="0.25">
      <c r="A461" s="2">
        <v>413</v>
      </c>
      <c r="B461" s="24" t="s">
        <v>9</v>
      </c>
      <c r="C461" s="25" t="s">
        <v>357</v>
      </c>
      <c r="D461" s="26">
        <v>45909</v>
      </c>
      <c r="E461" s="25" t="s">
        <v>365</v>
      </c>
      <c r="F461" s="27">
        <v>390</v>
      </c>
      <c r="G461" s="12">
        <f t="shared" si="7"/>
        <v>390</v>
      </c>
      <c r="H461" s="32">
        <v>45916</v>
      </c>
      <c r="I461" s="25" t="s">
        <v>12</v>
      </c>
      <c r="J461" s="58" t="s">
        <v>366</v>
      </c>
    </row>
    <row r="462" spans="1:10" x14ac:dyDescent="0.25">
      <c r="A462" s="2">
        <v>427</v>
      </c>
      <c r="B462" s="24" t="s">
        <v>9</v>
      </c>
      <c r="C462" s="25" t="s">
        <v>352</v>
      </c>
      <c r="D462" s="26">
        <v>45912</v>
      </c>
      <c r="E462" s="25" t="s">
        <v>355</v>
      </c>
      <c r="F462" s="27">
        <v>488</v>
      </c>
      <c r="G462" s="12">
        <f t="shared" si="7"/>
        <v>488</v>
      </c>
      <c r="H462" s="32">
        <v>45921</v>
      </c>
      <c r="I462" s="25" t="s">
        <v>12</v>
      </c>
      <c r="J462" s="58" t="s">
        <v>356</v>
      </c>
    </row>
    <row r="463" spans="1:10" x14ac:dyDescent="0.25">
      <c r="A463" s="2">
        <v>424</v>
      </c>
      <c r="B463" s="24" t="s">
        <v>9</v>
      </c>
      <c r="C463" s="25" t="s">
        <v>393</v>
      </c>
      <c r="D463" s="26">
        <v>45895</v>
      </c>
      <c r="E463" s="25" t="s">
        <v>396</v>
      </c>
      <c r="F463" s="27">
        <v>1625.4</v>
      </c>
      <c r="G463" s="12">
        <f t="shared" si="7"/>
        <v>1625.4</v>
      </c>
      <c r="H463" s="32">
        <v>45921</v>
      </c>
      <c r="I463" s="25" t="s">
        <v>12</v>
      </c>
      <c r="J463" s="58" t="s">
        <v>397</v>
      </c>
    </row>
    <row r="464" spans="1:10" x14ac:dyDescent="0.25">
      <c r="A464" s="2">
        <v>415</v>
      </c>
      <c r="B464" s="24" t="s">
        <v>9</v>
      </c>
      <c r="C464" s="25" t="s">
        <v>1081</v>
      </c>
      <c r="D464" s="26">
        <v>45912</v>
      </c>
      <c r="E464" s="25" t="s">
        <v>1082</v>
      </c>
      <c r="F464" s="27">
        <v>1480</v>
      </c>
      <c r="G464" s="12">
        <f t="shared" si="7"/>
        <v>1480</v>
      </c>
      <c r="H464" s="32">
        <v>45916</v>
      </c>
      <c r="I464" s="25" t="s">
        <v>12</v>
      </c>
      <c r="J464" s="58" t="s">
        <v>1083</v>
      </c>
    </row>
    <row r="465" spans="1:10" x14ac:dyDescent="0.25">
      <c r="A465" s="2">
        <v>418</v>
      </c>
      <c r="B465" s="24" t="s">
        <v>9</v>
      </c>
      <c r="C465" s="25" t="s">
        <v>1084</v>
      </c>
      <c r="D465" s="26">
        <v>45911</v>
      </c>
      <c r="E465" s="25" t="s">
        <v>1085</v>
      </c>
      <c r="F465" s="27">
        <v>5600</v>
      </c>
      <c r="G465" s="12">
        <f t="shared" si="7"/>
        <v>5600</v>
      </c>
      <c r="H465" s="32">
        <v>45917</v>
      </c>
      <c r="I465" s="25" t="s">
        <v>12</v>
      </c>
      <c r="J465" s="58" t="s">
        <v>1086</v>
      </c>
    </row>
    <row r="466" spans="1:10" x14ac:dyDescent="0.25">
      <c r="A466" s="2">
        <v>437</v>
      </c>
      <c r="B466" s="24" t="s">
        <v>9</v>
      </c>
      <c r="C466" s="25" t="s">
        <v>1087</v>
      </c>
      <c r="D466" s="26">
        <v>45909</v>
      </c>
      <c r="E466" s="25" t="s">
        <v>1088</v>
      </c>
      <c r="F466" s="27">
        <v>900</v>
      </c>
      <c r="G466" s="12">
        <f t="shared" si="7"/>
        <v>900</v>
      </c>
      <c r="H466" s="32">
        <v>45926</v>
      </c>
      <c r="I466" s="25" t="s">
        <v>12</v>
      </c>
      <c r="J466" s="58" t="s">
        <v>1089</v>
      </c>
    </row>
    <row r="467" spans="1:10" x14ac:dyDescent="0.25">
      <c r="A467" s="2">
        <v>422</v>
      </c>
      <c r="B467" s="24" t="s">
        <v>9</v>
      </c>
      <c r="C467" s="25" t="s">
        <v>1090</v>
      </c>
      <c r="D467" s="26">
        <v>45912</v>
      </c>
      <c r="E467" s="25" t="s">
        <v>1091</v>
      </c>
      <c r="F467" s="27">
        <v>1580</v>
      </c>
      <c r="G467" s="12">
        <f t="shared" si="7"/>
        <v>1580</v>
      </c>
      <c r="H467" s="32">
        <v>45918</v>
      </c>
      <c r="I467" s="25" t="s">
        <v>12</v>
      </c>
      <c r="J467" s="58" t="s">
        <v>1092</v>
      </c>
    </row>
    <row r="468" spans="1:10" x14ac:dyDescent="0.25">
      <c r="A468" s="2">
        <v>436</v>
      </c>
      <c r="B468" s="24" t="s">
        <v>9</v>
      </c>
      <c r="C468" s="25" t="s">
        <v>393</v>
      </c>
      <c r="D468" s="26">
        <v>45895</v>
      </c>
      <c r="E468" s="25" t="s">
        <v>394</v>
      </c>
      <c r="F468" s="27">
        <v>6458.85</v>
      </c>
      <c r="G468" s="12">
        <f t="shared" si="7"/>
        <v>6458.85</v>
      </c>
      <c r="H468" s="32">
        <v>45926</v>
      </c>
      <c r="I468" s="25" t="s">
        <v>12</v>
      </c>
      <c r="J468" s="58" t="s">
        <v>395</v>
      </c>
    </row>
    <row r="469" spans="1:10" x14ac:dyDescent="0.25">
      <c r="A469" s="2">
        <v>19</v>
      </c>
      <c r="B469" s="24" t="s">
        <v>9</v>
      </c>
      <c r="C469" s="25" t="s">
        <v>1093</v>
      </c>
      <c r="D469" s="26">
        <v>45910</v>
      </c>
      <c r="E469" s="48" t="s">
        <v>1094</v>
      </c>
      <c r="F469" s="27">
        <v>1025</v>
      </c>
      <c r="G469" s="12">
        <f t="shared" si="7"/>
        <v>0</v>
      </c>
      <c r="H469" s="50" t="s">
        <v>33</v>
      </c>
      <c r="I469" s="25" t="s">
        <v>12</v>
      </c>
      <c r="J469" s="58"/>
    </row>
    <row r="470" spans="1:10" x14ac:dyDescent="0.25">
      <c r="A470" s="2">
        <v>18</v>
      </c>
      <c r="B470" s="24" t="s">
        <v>9</v>
      </c>
      <c r="C470" s="25" t="s">
        <v>1095</v>
      </c>
      <c r="D470" s="26">
        <v>45901</v>
      </c>
      <c r="E470" s="47" t="s">
        <v>1096</v>
      </c>
      <c r="F470" s="27">
        <v>125</v>
      </c>
      <c r="G470" s="12">
        <f t="shared" si="7"/>
        <v>125</v>
      </c>
      <c r="H470" s="50" t="s">
        <v>1743</v>
      </c>
      <c r="I470" s="25" t="s">
        <v>12</v>
      </c>
      <c r="J470" s="58">
        <v>2590015930</v>
      </c>
    </row>
    <row r="471" spans="1:10" x14ac:dyDescent="0.25">
      <c r="A471" s="2">
        <v>713</v>
      </c>
      <c r="B471" s="24" t="s">
        <v>9</v>
      </c>
      <c r="C471" s="25" t="s">
        <v>1097</v>
      </c>
      <c r="D471" s="26">
        <v>45916</v>
      </c>
      <c r="E471" s="25" t="s">
        <v>1098</v>
      </c>
      <c r="F471" s="27">
        <v>400</v>
      </c>
      <c r="G471" s="12">
        <f t="shared" si="7"/>
        <v>400</v>
      </c>
      <c r="H471" s="33" t="s">
        <v>1729</v>
      </c>
      <c r="I471" s="25" t="s">
        <v>12</v>
      </c>
      <c r="J471" s="58" t="s">
        <v>1099</v>
      </c>
    </row>
    <row r="472" spans="1:10" x14ac:dyDescent="0.25">
      <c r="A472" s="2">
        <v>441</v>
      </c>
      <c r="B472" s="25" t="s">
        <v>95</v>
      </c>
      <c r="C472" s="25" t="s">
        <v>1100</v>
      </c>
      <c r="D472" s="26">
        <v>45915</v>
      </c>
      <c r="E472" s="25" t="s">
        <v>1101</v>
      </c>
      <c r="F472" s="27">
        <v>1087.5</v>
      </c>
      <c r="G472" s="12">
        <f t="shared" si="7"/>
        <v>1087.5</v>
      </c>
      <c r="H472" s="32">
        <v>45930</v>
      </c>
      <c r="I472" s="25" t="s">
        <v>12</v>
      </c>
      <c r="J472" s="58" t="s">
        <v>1102</v>
      </c>
    </row>
    <row r="473" spans="1:10" x14ac:dyDescent="0.25">
      <c r="A473" s="2">
        <v>433</v>
      </c>
      <c r="B473" s="24" t="s">
        <v>9</v>
      </c>
      <c r="C473" s="25" t="s">
        <v>352</v>
      </c>
      <c r="D473" s="26">
        <v>45912</v>
      </c>
      <c r="E473" s="25" t="s">
        <v>353</v>
      </c>
      <c r="F473" s="27">
        <v>120</v>
      </c>
      <c r="G473" s="12">
        <f t="shared" si="7"/>
        <v>120</v>
      </c>
      <c r="H473" s="32">
        <v>45924</v>
      </c>
      <c r="I473" s="25" t="s">
        <v>12</v>
      </c>
      <c r="J473" s="58" t="s">
        <v>354</v>
      </c>
    </row>
    <row r="474" spans="1:10" x14ac:dyDescent="0.25">
      <c r="A474" s="2">
        <v>438</v>
      </c>
      <c r="B474" s="24" t="s">
        <v>9</v>
      </c>
      <c r="C474" s="25" t="s">
        <v>1103</v>
      </c>
      <c r="D474" s="26">
        <v>45918</v>
      </c>
      <c r="E474" s="25" t="s">
        <v>1104</v>
      </c>
      <c r="F474" s="27">
        <v>186.66</v>
      </c>
      <c r="G474" s="12">
        <f t="shared" si="7"/>
        <v>186.66</v>
      </c>
      <c r="H474" s="32">
        <v>45926</v>
      </c>
      <c r="I474" s="25" t="s">
        <v>12</v>
      </c>
      <c r="J474" s="58" t="s">
        <v>1105</v>
      </c>
    </row>
    <row r="475" spans="1:10" x14ac:dyDescent="0.25">
      <c r="A475" s="2">
        <v>430</v>
      </c>
      <c r="B475" s="24" t="s">
        <v>9</v>
      </c>
      <c r="C475" s="25" t="s">
        <v>368</v>
      </c>
      <c r="D475" s="26">
        <v>45903</v>
      </c>
      <c r="E475" s="25" t="s">
        <v>371</v>
      </c>
      <c r="F475" s="27">
        <v>522.5</v>
      </c>
      <c r="G475" s="12">
        <f t="shared" si="7"/>
        <v>522.5</v>
      </c>
      <c r="H475" s="28">
        <v>45924</v>
      </c>
      <c r="I475" s="25" t="s">
        <v>12</v>
      </c>
      <c r="J475" s="58" t="s">
        <v>372</v>
      </c>
    </row>
    <row r="476" spans="1:10" x14ac:dyDescent="0.25">
      <c r="A476" s="2">
        <v>431</v>
      </c>
      <c r="B476" s="24" t="s">
        <v>9</v>
      </c>
      <c r="C476" s="25" t="s">
        <v>368</v>
      </c>
      <c r="D476" s="26">
        <v>45903</v>
      </c>
      <c r="E476" s="25" t="s">
        <v>369</v>
      </c>
      <c r="F476" s="27">
        <v>1251</v>
      </c>
      <c r="G476" s="12">
        <f t="shared" si="7"/>
        <v>1251</v>
      </c>
      <c r="H476" s="28">
        <v>45924</v>
      </c>
      <c r="I476" s="25" t="s">
        <v>12</v>
      </c>
      <c r="J476" s="58" t="s">
        <v>370</v>
      </c>
    </row>
    <row r="477" spans="1:10" x14ac:dyDescent="0.25">
      <c r="A477" s="2">
        <v>17</v>
      </c>
      <c r="B477" s="24" t="s">
        <v>9</v>
      </c>
      <c r="C477" s="25" t="s">
        <v>1106</v>
      </c>
      <c r="D477" s="26">
        <v>45916</v>
      </c>
      <c r="E477" s="48" t="s">
        <v>1107</v>
      </c>
      <c r="F477" s="27">
        <v>1335</v>
      </c>
      <c r="G477" s="12">
        <f t="shared" si="7"/>
        <v>0</v>
      </c>
      <c r="H477" s="50" t="s">
        <v>33</v>
      </c>
      <c r="I477" s="25" t="s">
        <v>12</v>
      </c>
      <c r="J477" s="58"/>
    </row>
    <row r="478" spans="1:10" x14ac:dyDescent="0.25">
      <c r="A478" s="2">
        <v>432</v>
      </c>
      <c r="B478" s="24" t="s">
        <v>9</v>
      </c>
      <c r="C478" s="25" t="s">
        <v>1108</v>
      </c>
      <c r="D478" s="26">
        <v>45911</v>
      </c>
      <c r="E478" s="25" t="s">
        <v>1109</v>
      </c>
      <c r="F478" s="27">
        <v>390</v>
      </c>
      <c r="G478" s="12">
        <f t="shared" si="7"/>
        <v>390</v>
      </c>
      <c r="H478" s="28">
        <v>45924</v>
      </c>
      <c r="I478" s="25" t="s">
        <v>12</v>
      </c>
      <c r="J478" s="58" t="s">
        <v>1110</v>
      </c>
    </row>
    <row r="479" spans="1:10" x14ac:dyDescent="0.25">
      <c r="A479" s="2">
        <v>16</v>
      </c>
      <c r="B479" s="24" t="s">
        <v>9</v>
      </c>
      <c r="C479" s="25" t="s">
        <v>1111</v>
      </c>
      <c r="D479" s="26">
        <v>45918</v>
      </c>
      <c r="E479" s="48" t="s">
        <v>1112</v>
      </c>
      <c r="F479" s="27">
        <v>700</v>
      </c>
      <c r="G479" s="12">
        <f t="shared" si="7"/>
        <v>0</v>
      </c>
      <c r="H479" s="50" t="s">
        <v>33</v>
      </c>
      <c r="I479" s="25" t="s">
        <v>12</v>
      </c>
      <c r="J479" s="58"/>
    </row>
    <row r="480" spans="1:10" x14ac:dyDescent="0.25">
      <c r="A480" s="2">
        <v>15</v>
      </c>
      <c r="B480" s="24" t="s">
        <v>9</v>
      </c>
      <c r="C480" s="25" t="s">
        <v>388</v>
      </c>
      <c r="D480" s="26">
        <v>45895</v>
      </c>
      <c r="E480" s="47" t="s">
        <v>392</v>
      </c>
      <c r="F480" s="27">
        <v>8270</v>
      </c>
      <c r="G480" s="12">
        <f t="shared" si="7"/>
        <v>8270</v>
      </c>
      <c r="H480" s="42">
        <v>45850.421527777777</v>
      </c>
      <c r="I480" s="25" t="s">
        <v>12</v>
      </c>
      <c r="J480" s="58">
        <v>2590016944</v>
      </c>
    </row>
    <row r="481" spans="1:10" x14ac:dyDescent="0.25">
      <c r="A481" s="2">
        <v>455</v>
      </c>
      <c r="B481" s="24" t="s">
        <v>9</v>
      </c>
      <c r="C481" s="25" t="s">
        <v>1113</v>
      </c>
      <c r="D481" s="26">
        <v>45917</v>
      </c>
      <c r="E481" s="25" t="s">
        <v>1114</v>
      </c>
      <c r="F481" s="27">
        <v>165</v>
      </c>
      <c r="G481" s="12">
        <f t="shared" si="7"/>
        <v>165</v>
      </c>
      <c r="H481" s="32">
        <v>45937</v>
      </c>
      <c r="I481" s="25" t="s">
        <v>12</v>
      </c>
      <c r="J481" s="58" t="s">
        <v>1115</v>
      </c>
    </row>
    <row r="482" spans="1:10" x14ac:dyDescent="0.25">
      <c r="A482" s="2">
        <v>439</v>
      </c>
      <c r="B482" s="24" t="s">
        <v>9</v>
      </c>
      <c r="C482" s="25" t="s">
        <v>357</v>
      </c>
      <c r="D482" s="26">
        <v>45909</v>
      </c>
      <c r="E482" s="25" t="s">
        <v>360</v>
      </c>
      <c r="F482" s="27">
        <v>3920</v>
      </c>
      <c r="G482" s="12">
        <f t="shared" si="7"/>
        <v>3920</v>
      </c>
      <c r="H482" s="32">
        <v>45928</v>
      </c>
      <c r="I482" s="25" t="s">
        <v>12</v>
      </c>
      <c r="J482" s="58" t="s">
        <v>361</v>
      </c>
    </row>
    <row r="483" spans="1:10" x14ac:dyDescent="0.25">
      <c r="A483" s="2">
        <v>14</v>
      </c>
      <c r="B483" s="24" t="s">
        <v>9</v>
      </c>
      <c r="C483" s="25" t="s">
        <v>357</v>
      </c>
      <c r="D483" s="26">
        <v>45909</v>
      </c>
      <c r="E483" s="48" t="s">
        <v>362</v>
      </c>
      <c r="F483" s="27">
        <v>125</v>
      </c>
      <c r="G483" s="12">
        <f t="shared" si="7"/>
        <v>0</v>
      </c>
      <c r="H483" s="50" t="s">
        <v>33</v>
      </c>
      <c r="I483" s="25" t="s">
        <v>12</v>
      </c>
      <c r="J483" s="58"/>
    </row>
    <row r="484" spans="1:10" x14ac:dyDescent="0.25">
      <c r="A484" s="2">
        <v>442</v>
      </c>
      <c r="B484" s="24" t="s">
        <v>9</v>
      </c>
      <c r="C484" s="25" t="s">
        <v>1116</v>
      </c>
      <c r="D484" s="26">
        <v>45923</v>
      </c>
      <c r="E484" s="25" t="s">
        <v>1117</v>
      </c>
      <c r="F484" s="27">
        <v>11700</v>
      </c>
      <c r="G484" s="12">
        <f t="shared" si="7"/>
        <v>11700</v>
      </c>
      <c r="H484" s="28">
        <v>45930</v>
      </c>
      <c r="I484" s="25" t="s">
        <v>12</v>
      </c>
      <c r="J484" s="58" t="s">
        <v>1118</v>
      </c>
    </row>
    <row r="485" spans="1:10" x14ac:dyDescent="0.25">
      <c r="A485" s="2">
        <v>475</v>
      </c>
      <c r="B485" s="24" t="s">
        <v>9</v>
      </c>
      <c r="C485" s="25" t="s">
        <v>1119</v>
      </c>
      <c r="D485" s="26">
        <v>45926</v>
      </c>
      <c r="E485" s="25" t="s">
        <v>1120</v>
      </c>
      <c r="F485" s="27">
        <v>12250</v>
      </c>
      <c r="G485" s="12">
        <f t="shared" si="7"/>
        <v>12250</v>
      </c>
      <c r="H485" s="32">
        <v>45944</v>
      </c>
      <c r="I485" s="25" t="s">
        <v>12</v>
      </c>
      <c r="J485" s="58" t="s">
        <v>1121</v>
      </c>
    </row>
    <row r="486" spans="1:10" x14ac:dyDescent="0.25">
      <c r="A486" s="2">
        <v>440</v>
      </c>
      <c r="B486" s="24" t="s">
        <v>9</v>
      </c>
      <c r="C486" s="25" t="s">
        <v>1122</v>
      </c>
      <c r="D486" s="26">
        <v>45918</v>
      </c>
      <c r="E486" s="25" t="s">
        <v>1123</v>
      </c>
      <c r="F486" s="27">
        <v>800</v>
      </c>
      <c r="G486" s="12">
        <f t="shared" si="7"/>
        <v>800</v>
      </c>
      <c r="H486" s="32">
        <v>45929</v>
      </c>
      <c r="I486" s="25" t="s">
        <v>12</v>
      </c>
      <c r="J486" s="58" t="s">
        <v>1124</v>
      </c>
    </row>
    <row r="487" spans="1:10" x14ac:dyDescent="0.25">
      <c r="A487" s="2">
        <v>13</v>
      </c>
      <c r="B487" s="24" t="s">
        <v>9</v>
      </c>
      <c r="C487" s="25" t="s">
        <v>357</v>
      </c>
      <c r="D487" s="26">
        <v>45909</v>
      </c>
      <c r="E487" s="48" t="s">
        <v>367</v>
      </c>
      <c r="F487" s="27">
        <v>195</v>
      </c>
      <c r="G487" s="12">
        <f t="shared" si="7"/>
        <v>0</v>
      </c>
      <c r="H487" s="50" t="s">
        <v>33</v>
      </c>
      <c r="I487" s="25" t="s">
        <v>12</v>
      </c>
      <c r="J487" s="58"/>
    </row>
    <row r="488" spans="1:10" x14ac:dyDescent="0.25">
      <c r="A488" s="2">
        <v>444</v>
      </c>
      <c r="B488" s="24" t="s">
        <v>9</v>
      </c>
      <c r="C488" s="25" t="s">
        <v>357</v>
      </c>
      <c r="D488" s="26">
        <v>45909</v>
      </c>
      <c r="E488" s="25" t="s">
        <v>358</v>
      </c>
      <c r="F488" s="27">
        <v>4120</v>
      </c>
      <c r="G488" s="12">
        <f t="shared" si="7"/>
        <v>4120</v>
      </c>
      <c r="H488" s="32">
        <v>45932</v>
      </c>
      <c r="I488" s="25" t="s">
        <v>12</v>
      </c>
      <c r="J488" s="58" t="s">
        <v>359</v>
      </c>
    </row>
    <row r="489" spans="1:10" x14ac:dyDescent="0.25">
      <c r="A489" s="2">
        <v>449</v>
      </c>
      <c r="B489" s="24" t="s">
        <v>9</v>
      </c>
      <c r="C489" s="25" t="s">
        <v>357</v>
      </c>
      <c r="D489" s="26">
        <v>45909</v>
      </c>
      <c r="E489" s="25" t="s">
        <v>363</v>
      </c>
      <c r="F489" s="27">
        <v>1020</v>
      </c>
      <c r="G489" s="12">
        <f t="shared" si="7"/>
        <v>1020</v>
      </c>
      <c r="H489" s="28">
        <v>45935</v>
      </c>
      <c r="I489" s="25" t="s">
        <v>12</v>
      </c>
      <c r="J489" s="58" t="s">
        <v>364</v>
      </c>
    </row>
    <row r="490" spans="1:10" x14ac:dyDescent="0.25">
      <c r="A490" s="2">
        <v>12</v>
      </c>
      <c r="B490" s="24" t="s">
        <v>9</v>
      </c>
      <c r="C490" s="25" t="s">
        <v>1125</v>
      </c>
      <c r="D490" s="26">
        <v>45931</v>
      </c>
      <c r="E490" s="49" t="s">
        <v>1126</v>
      </c>
      <c r="F490" s="27">
        <v>1131.4000000000001</v>
      </c>
      <c r="G490" s="12">
        <f t="shared" si="7"/>
        <v>1131.4000000000001</v>
      </c>
      <c r="H490" s="4" t="s">
        <v>1742</v>
      </c>
      <c r="I490" s="25" t="s">
        <v>12</v>
      </c>
      <c r="J490" s="58">
        <v>2590014282</v>
      </c>
    </row>
    <row r="491" spans="1:10" x14ac:dyDescent="0.25">
      <c r="A491" s="2">
        <v>453</v>
      </c>
      <c r="B491" s="24" t="s">
        <v>9</v>
      </c>
      <c r="C491" s="25" t="s">
        <v>1127</v>
      </c>
      <c r="D491" s="26">
        <v>45931</v>
      </c>
      <c r="E491" s="25" t="s">
        <v>1128</v>
      </c>
      <c r="F491" s="27">
        <v>1000</v>
      </c>
      <c r="G491" s="12">
        <f t="shared" si="7"/>
        <v>1000</v>
      </c>
      <c r="H491" s="32">
        <v>45935</v>
      </c>
      <c r="I491" s="25" t="s">
        <v>12</v>
      </c>
      <c r="J491" s="58" t="s">
        <v>1129</v>
      </c>
    </row>
    <row r="492" spans="1:10" x14ac:dyDescent="0.25">
      <c r="A492" s="2">
        <v>463</v>
      </c>
      <c r="B492" s="24" t="s">
        <v>9</v>
      </c>
      <c r="C492" s="25" t="s">
        <v>341</v>
      </c>
      <c r="D492" s="26">
        <v>45925</v>
      </c>
      <c r="E492" s="25" t="s">
        <v>344</v>
      </c>
      <c r="F492" s="27">
        <v>55</v>
      </c>
      <c r="G492" s="12">
        <f t="shared" si="7"/>
        <v>55</v>
      </c>
      <c r="H492" s="32">
        <v>45939</v>
      </c>
      <c r="I492" s="25" t="s">
        <v>12</v>
      </c>
      <c r="J492" s="58" t="s">
        <v>345</v>
      </c>
    </row>
    <row r="493" spans="1:10" x14ac:dyDescent="0.25">
      <c r="A493" s="2">
        <v>451</v>
      </c>
      <c r="B493" s="24" t="s">
        <v>9</v>
      </c>
      <c r="C493" s="25" t="s">
        <v>341</v>
      </c>
      <c r="D493" s="26">
        <v>45925</v>
      </c>
      <c r="E493" s="25" t="s">
        <v>346</v>
      </c>
      <c r="F493" s="27">
        <v>398.8</v>
      </c>
      <c r="G493" s="12">
        <f t="shared" si="7"/>
        <v>398.8</v>
      </c>
      <c r="H493" s="32">
        <v>45935</v>
      </c>
      <c r="I493" s="25" t="s">
        <v>12</v>
      </c>
      <c r="J493" s="58" t="s">
        <v>347</v>
      </c>
    </row>
    <row r="494" spans="1:10" x14ac:dyDescent="0.25">
      <c r="A494" s="2">
        <v>447</v>
      </c>
      <c r="B494" s="24" t="s">
        <v>9</v>
      </c>
      <c r="C494" s="25" t="s">
        <v>341</v>
      </c>
      <c r="D494" s="26">
        <v>45925</v>
      </c>
      <c r="E494" s="25" t="s">
        <v>350</v>
      </c>
      <c r="F494" s="27">
        <v>900</v>
      </c>
      <c r="G494" s="12">
        <f t="shared" si="7"/>
        <v>900</v>
      </c>
      <c r="H494" s="28">
        <v>45933</v>
      </c>
      <c r="I494" s="25" t="s">
        <v>12</v>
      </c>
      <c r="J494" s="58" t="s">
        <v>351</v>
      </c>
    </row>
    <row r="495" spans="1:10" x14ac:dyDescent="0.25">
      <c r="A495" s="2">
        <v>450</v>
      </c>
      <c r="B495" s="24" t="s">
        <v>9</v>
      </c>
      <c r="C495" s="25" t="s">
        <v>341</v>
      </c>
      <c r="D495" s="26">
        <v>45925</v>
      </c>
      <c r="E495" s="25" t="s">
        <v>348</v>
      </c>
      <c r="F495" s="27">
        <v>1040</v>
      </c>
      <c r="G495" s="12">
        <f t="shared" si="7"/>
        <v>1040</v>
      </c>
      <c r="H495" s="28">
        <v>45935</v>
      </c>
      <c r="I495" s="25" t="s">
        <v>12</v>
      </c>
      <c r="J495" s="58" t="s">
        <v>349</v>
      </c>
    </row>
    <row r="496" spans="1:10" x14ac:dyDescent="0.25">
      <c r="A496" s="2">
        <v>452</v>
      </c>
      <c r="B496" s="24" t="s">
        <v>9</v>
      </c>
      <c r="C496" s="25" t="s">
        <v>341</v>
      </c>
      <c r="D496" s="26">
        <v>45925</v>
      </c>
      <c r="E496" s="25" t="s">
        <v>342</v>
      </c>
      <c r="F496" s="27">
        <v>411</v>
      </c>
      <c r="G496" s="12">
        <f t="shared" si="7"/>
        <v>411</v>
      </c>
      <c r="H496" s="32">
        <v>45935</v>
      </c>
      <c r="I496" s="25" t="s">
        <v>12</v>
      </c>
      <c r="J496" s="58" t="s">
        <v>343</v>
      </c>
    </row>
    <row r="497" spans="1:10" x14ac:dyDescent="0.25">
      <c r="A497" s="2">
        <v>462</v>
      </c>
      <c r="B497" s="24" t="s">
        <v>9</v>
      </c>
      <c r="C497" s="25" t="s">
        <v>1130</v>
      </c>
      <c r="D497" s="26">
        <v>45901</v>
      </c>
      <c r="E497" s="25" t="s">
        <v>1131</v>
      </c>
      <c r="F497" s="27">
        <v>180</v>
      </c>
      <c r="G497" s="12">
        <f t="shared" si="7"/>
        <v>180</v>
      </c>
      <c r="H497" s="33">
        <v>45939</v>
      </c>
      <c r="I497" s="25" t="s">
        <v>12</v>
      </c>
      <c r="J497" s="58" t="s">
        <v>1132</v>
      </c>
    </row>
    <row r="498" spans="1:10" x14ac:dyDescent="0.25">
      <c r="A498" s="2">
        <v>460</v>
      </c>
      <c r="B498" s="24" t="s">
        <v>9</v>
      </c>
      <c r="C498" s="25" t="s">
        <v>332</v>
      </c>
      <c r="D498" s="26">
        <v>45935</v>
      </c>
      <c r="E498" s="25" t="s">
        <v>333</v>
      </c>
      <c r="F498" s="27">
        <v>213.2</v>
      </c>
      <c r="G498" s="12">
        <f t="shared" si="7"/>
        <v>213.2</v>
      </c>
      <c r="H498" s="32">
        <v>45938</v>
      </c>
      <c r="I498" s="25" t="s">
        <v>12</v>
      </c>
      <c r="J498" s="58" t="s">
        <v>334</v>
      </c>
    </row>
    <row r="499" spans="1:10" x14ac:dyDescent="0.25">
      <c r="A499" s="2">
        <v>471</v>
      </c>
      <c r="B499" s="24" t="s">
        <v>9</v>
      </c>
      <c r="C499" s="25" t="s">
        <v>1133</v>
      </c>
      <c r="D499" s="26">
        <v>45937</v>
      </c>
      <c r="E499" s="25" t="s">
        <v>1134</v>
      </c>
      <c r="F499" s="27">
        <v>1130</v>
      </c>
      <c r="G499" s="12">
        <f t="shared" si="7"/>
        <v>1130</v>
      </c>
      <c r="H499" s="32">
        <v>45942</v>
      </c>
      <c r="I499" s="25" t="s">
        <v>12</v>
      </c>
      <c r="J499" s="58" t="s">
        <v>1135</v>
      </c>
    </row>
    <row r="500" spans="1:10" x14ac:dyDescent="0.25">
      <c r="A500" s="2">
        <v>468</v>
      </c>
      <c r="B500" s="36" t="s">
        <v>95</v>
      </c>
      <c r="C500" s="36" t="s">
        <v>328</v>
      </c>
      <c r="D500" s="37">
        <v>45937</v>
      </c>
      <c r="E500" s="36" t="s">
        <v>329</v>
      </c>
      <c r="F500" s="38">
        <v>38520</v>
      </c>
      <c r="G500" s="12">
        <f t="shared" si="7"/>
        <v>38520</v>
      </c>
      <c r="H500" s="39">
        <v>45940</v>
      </c>
      <c r="I500" s="36" t="s">
        <v>12</v>
      </c>
      <c r="J500" s="59" t="s">
        <v>330</v>
      </c>
    </row>
    <row r="501" spans="1:10" x14ac:dyDescent="0.25">
      <c r="A501" s="2">
        <v>11</v>
      </c>
      <c r="B501" s="24" t="s">
        <v>9</v>
      </c>
      <c r="C501" s="25" t="s">
        <v>1136</v>
      </c>
      <c r="D501" s="26">
        <v>45931</v>
      </c>
      <c r="E501" s="47" t="s">
        <v>1137</v>
      </c>
      <c r="F501" s="27">
        <v>1290</v>
      </c>
      <c r="G501" s="12">
        <f t="shared" si="7"/>
        <v>1290</v>
      </c>
      <c r="H501" s="50" t="s">
        <v>1741</v>
      </c>
      <c r="I501" s="25" t="s">
        <v>12</v>
      </c>
      <c r="J501" s="58">
        <v>2590014543</v>
      </c>
    </row>
    <row r="502" spans="1:10" x14ac:dyDescent="0.25">
      <c r="A502" s="2">
        <v>464</v>
      </c>
      <c r="B502" s="24" t="s">
        <v>9</v>
      </c>
      <c r="C502" s="25" t="s">
        <v>337</v>
      </c>
      <c r="D502" s="26">
        <v>45931</v>
      </c>
      <c r="E502" s="25" t="s">
        <v>338</v>
      </c>
      <c r="F502" s="27">
        <v>450</v>
      </c>
      <c r="G502" s="12">
        <f t="shared" si="7"/>
        <v>450</v>
      </c>
      <c r="H502" s="32">
        <v>45939</v>
      </c>
      <c r="I502" s="25" t="s">
        <v>12</v>
      </c>
      <c r="J502" s="58" t="s">
        <v>339</v>
      </c>
    </row>
    <row r="503" spans="1:10" x14ac:dyDescent="0.25">
      <c r="A503" s="2">
        <v>10</v>
      </c>
      <c r="B503" s="24" t="s">
        <v>9</v>
      </c>
      <c r="C503" s="25" t="s">
        <v>337</v>
      </c>
      <c r="D503" s="26">
        <v>45931</v>
      </c>
      <c r="E503" s="47" t="s">
        <v>340</v>
      </c>
      <c r="F503" s="27">
        <v>900</v>
      </c>
      <c r="G503" s="12">
        <f t="shared" si="7"/>
        <v>900</v>
      </c>
      <c r="H503" s="50" t="s">
        <v>1740</v>
      </c>
      <c r="I503" s="25" t="s">
        <v>12</v>
      </c>
      <c r="J503" s="58">
        <v>2590014545</v>
      </c>
    </row>
    <row r="504" spans="1:10" x14ac:dyDescent="0.25">
      <c r="A504" s="2">
        <v>469</v>
      </c>
      <c r="B504" s="24" t="s">
        <v>9</v>
      </c>
      <c r="C504" s="25" t="s">
        <v>1138</v>
      </c>
      <c r="D504" s="26">
        <v>45934</v>
      </c>
      <c r="E504" s="25" t="s">
        <v>1139</v>
      </c>
      <c r="F504" s="27">
        <v>290</v>
      </c>
      <c r="G504" s="12">
        <f t="shared" si="7"/>
        <v>290</v>
      </c>
      <c r="H504" s="28">
        <v>45942</v>
      </c>
      <c r="I504" s="25" t="s">
        <v>12</v>
      </c>
      <c r="J504" s="58" t="s">
        <v>1140</v>
      </c>
    </row>
    <row r="505" spans="1:10" x14ac:dyDescent="0.25">
      <c r="A505" s="2">
        <v>9</v>
      </c>
      <c r="B505" s="24" t="s">
        <v>9</v>
      </c>
      <c r="C505" s="25" t="s">
        <v>323</v>
      </c>
      <c r="D505" s="26">
        <v>45938</v>
      </c>
      <c r="E505" s="47" t="s">
        <v>327</v>
      </c>
      <c r="F505" s="27">
        <v>848.55</v>
      </c>
      <c r="G505" s="12">
        <f t="shared" si="7"/>
        <v>848.55</v>
      </c>
      <c r="H505" s="4" t="s">
        <v>1739</v>
      </c>
      <c r="I505" s="25" t="s">
        <v>12</v>
      </c>
      <c r="J505" s="58">
        <v>2590014281</v>
      </c>
    </row>
    <row r="506" spans="1:10" x14ac:dyDescent="0.25">
      <c r="A506" s="2">
        <v>8</v>
      </c>
      <c r="B506" s="24" t="s">
        <v>9</v>
      </c>
      <c r="C506" s="25" t="s">
        <v>323</v>
      </c>
      <c r="D506" s="26">
        <v>45938</v>
      </c>
      <c r="E506" s="47" t="s">
        <v>324</v>
      </c>
      <c r="F506" s="27">
        <v>1030</v>
      </c>
      <c r="G506" s="12">
        <f t="shared" si="7"/>
        <v>1030</v>
      </c>
      <c r="H506" s="50" t="s">
        <v>1738</v>
      </c>
      <c r="I506" s="25" t="s">
        <v>12</v>
      </c>
      <c r="J506" s="58">
        <v>2590014916</v>
      </c>
    </row>
    <row r="507" spans="1:10" x14ac:dyDescent="0.25">
      <c r="A507" s="2">
        <v>480</v>
      </c>
      <c r="B507" s="24" t="s">
        <v>9</v>
      </c>
      <c r="C507" s="25" t="s">
        <v>323</v>
      </c>
      <c r="D507" s="26">
        <v>45938</v>
      </c>
      <c r="E507" s="25" t="s">
        <v>325</v>
      </c>
      <c r="F507" s="27">
        <v>4721.3999999999996</v>
      </c>
      <c r="G507" s="12">
        <f t="shared" si="7"/>
        <v>4721.3999999999996</v>
      </c>
      <c r="H507" s="28">
        <v>45944</v>
      </c>
      <c r="I507" s="25" t="s">
        <v>12</v>
      </c>
      <c r="J507" s="58" t="s">
        <v>326</v>
      </c>
    </row>
    <row r="508" spans="1:10" x14ac:dyDescent="0.25">
      <c r="A508" s="2">
        <v>478</v>
      </c>
      <c r="B508" s="24" t="s">
        <v>9</v>
      </c>
      <c r="C508" s="25" t="s">
        <v>332</v>
      </c>
      <c r="D508" s="26">
        <v>45935</v>
      </c>
      <c r="E508" s="25" t="s">
        <v>335</v>
      </c>
      <c r="F508" s="27">
        <v>430</v>
      </c>
      <c r="G508" s="12">
        <f t="shared" si="7"/>
        <v>430</v>
      </c>
      <c r="H508" s="32">
        <v>45944</v>
      </c>
      <c r="I508" s="25" t="s">
        <v>12</v>
      </c>
      <c r="J508" s="58" t="s">
        <v>336</v>
      </c>
    </row>
    <row r="509" spans="1:10" x14ac:dyDescent="0.25">
      <c r="A509" s="2">
        <v>7</v>
      </c>
      <c r="B509" s="24" t="s">
        <v>9</v>
      </c>
      <c r="C509" s="25" t="s">
        <v>1141</v>
      </c>
      <c r="D509" s="26">
        <v>45939</v>
      </c>
      <c r="E509" s="47" t="s">
        <v>1142</v>
      </c>
      <c r="F509" s="27">
        <v>1500</v>
      </c>
      <c r="G509" s="12">
        <f t="shared" si="7"/>
        <v>1500</v>
      </c>
      <c r="H509" s="50" t="s">
        <v>1737</v>
      </c>
      <c r="I509" s="25" t="s">
        <v>12</v>
      </c>
      <c r="J509" s="58">
        <v>2590014445</v>
      </c>
    </row>
    <row r="510" spans="1:10" x14ac:dyDescent="0.25">
      <c r="A510" s="2">
        <v>6</v>
      </c>
      <c r="B510" s="25" t="s">
        <v>95</v>
      </c>
      <c r="C510" s="25" t="s">
        <v>328</v>
      </c>
      <c r="D510" s="26">
        <v>45937</v>
      </c>
      <c r="E510" s="47" t="s">
        <v>331</v>
      </c>
      <c r="F510" s="27">
        <v>1200</v>
      </c>
      <c r="G510" s="12">
        <f t="shared" si="7"/>
        <v>1200</v>
      </c>
      <c r="H510" s="4" t="s">
        <v>1736</v>
      </c>
      <c r="I510" s="25" t="s">
        <v>12</v>
      </c>
      <c r="J510" s="58">
        <v>2590016074</v>
      </c>
    </row>
    <row r="511" spans="1:10" x14ac:dyDescent="0.25">
      <c r="A511" s="2">
        <v>5</v>
      </c>
      <c r="B511" s="24" t="s">
        <v>9</v>
      </c>
      <c r="C511" s="25" t="s">
        <v>1143</v>
      </c>
      <c r="D511" s="26">
        <v>45939</v>
      </c>
      <c r="E511" s="47" t="s">
        <v>1144</v>
      </c>
      <c r="F511" s="27">
        <v>580</v>
      </c>
      <c r="G511" s="12">
        <f t="shared" si="7"/>
        <v>580</v>
      </c>
      <c r="H511" s="4" t="s">
        <v>1735</v>
      </c>
      <c r="I511" s="25" t="s">
        <v>12</v>
      </c>
      <c r="J511" s="58">
        <v>2590014073</v>
      </c>
    </row>
    <row r="512" spans="1:10" x14ac:dyDescent="0.25">
      <c r="A512" s="2">
        <v>4</v>
      </c>
      <c r="B512" s="24" t="s">
        <v>9</v>
      </c>
      <c r="C512" s="25" t="s">
        <v>1150</v>
      </c>
      <c r="D512" s="26">
        <v>45937</v>
      </c>
      <c r="E512" s="47" t="s">
        <v>1151</v>
      </c>
      <c r="F512" s="27">
        <v>580</v>
      </c>
      <c r="G512" s="12">
        <f t="shared" si="7"/>
        <v>580</v>
      </c>
      <c r="H512" s="4" t="s">
        <v>1734</v>
      </c>
      <c r="I512" s="25" t="s">
        <v>12</v>
      </c>
      <c r="J512" s="58">
        <v>2590015063</v>
      </c>
    </row>
    <row r="513" spans="1:11" x14ac:dyDescent="0.25">
      <c r="A513" s="2">
        <v>3</v>
      </c>
      <c r="B513" s="24" t="s">
        <v>9</v>
      </c>
      <c r="C513" s="25" t="s">
        <v>1145</v>
      </c>
      <c r="D513" s="26">
        <v>45940</v>
      </c>
      <c r="E513" s="47" t="s">
        <v>1146</v>
      </c>
      <c r="F513" s="27">
        <v>580</v>
      </c>
      <c r="G513" s="12">
        <f t="shared" ref="G513:G581" si="8">IF(J513&gt;0,F513,0)</f>
        <v>580</v>
      </c>
      <c r="H513" s="50" t="s">
        <v>1733</v>
      </c>
      <c r="I513" s="25" t="s">
        <v>12</v>
      </c>
      <c r="J513" s="58">
        <v>2590014544</v>
      </c>
    </row>
    <row r="514" spans="1:11" x14ac:dyDescent="0.25">
      <c r="A514" s="2">
        <v>501</v>
      </c>
      <c r="B514" s="24" t="s">
        <v>9</v>
      </c>
      <c r="C514" t="s">
        <v>1198</v>
      </c>
      <c r="D514" s="6">
        <v>45944</v>
      </c>
      <c r="E514" s="45" t="s">
        <v>1382</v>
      </c>
      <c r="F514" s="13">
        <v>880</v>
      </c>
      <c r="G514" s="12">
        <f t="shared" si="8"/>
        <v>880</v>
      </c>
      <c r="H514" s="31">
        <v>45954</v>
      </c>
      <c r="J514" s="60">
        <v>2590014700</v>
      </c>
    </row>
    <row r="515" spans="1:11" x14ac:dyDescent="0.25">
      <c r="A515" s="2">
        <v>502</v>
      </c>
      <c r="B515" s="24" t="s">
        <v>9</v>
      </c>
      <c r="C515" t="s">
        <v>1198</v>
      </c>
      <c r="D515" s="6">
        <v>45944</v>
      </c>
      <c r="E515" s="45" t="s">
        <v>1382</v>
      </c>
      <c r="F515" s="13">
        <v>880</v>
      </c>
      <c r="G515" s="12">
        <f t="shared" si="8"/>
        <v>880</v>
      </c>
      <c r="H515" s="31">
        <v>45954</v>
      </c>
      <c r="J515" s="60" t="s">
        <v>1685</v>
      </c>
    </row>
    <row r="516" spans="1:11" x14ac:dyDescent="0.25">
      <c r="A516" s="2">
        <v>482</v>
      </c>
      <c r="B516" s="24" t="s">
        <v>9</v>
      </c>
      <c r="C516" t="s">
        <v>1383</v>
      </c>
      <c r="D516" s="6">
        <v>45944</v>
      </c>
      <c r="E516" s="45" t="s">
        <v>1384</v>
      </c>
      <c r="F516" s="13">
        <v>750</v>
      </c>
      <c r="G516" s="12">
        <f t="shared" si="8"/>
        <v>750</v>
      </c>
      <c r="H516" s="31">
        <v>45949</v>
      </c>
      <c r="J516" s="60">
        <v>2590014338</v>
      </c>
      <c r="K516" s="9"/>
    </row>
    <row r="517" spans="1:11" x14ac:dyDescent="0.25">
      <c r="A517" s="2">
        <v>2</v>
      </c>
      <c r="B517" s="24" t="s">
        <v>9</v>
      </c>
      <c r="C517" s="25" t="s">
        <v>1153</v>
      </c>
      <c r="D517" s="26">
        <v>45930</v>
      </c>
      <c r="E517" s="47" t="s">
        <v>1154</v>
      </c>
      <c r="F517" s="27">
        <v>580</v>
      </c>
      <c r="G517" s="12">
        <f t="shared" si="8"/>
        <v>580</v>
      </c>
      <c r="H517" s="50" t="s">
        <v>1732</v>
      </c>
      <c r="I517" s="25" t="s">
        <v>12</v>
      </c>
      <c r="J517" s="58">
        <v>2590014918</v>
      </c>
    </row>
    <row r="518" spans="1:11" x14ac:dyDescent="0.25">
      <c r="A518" s="2">
        <v>1</v>
      </c>
      <c r="B518" s="24" t="s">
        <v>9</v>
      </c>
      <c r="C518" s="25" t="s">
        <v>1147</v>
      </c>
      <c r="D518" s="26">
        <v>45939</v>
      </c>
      <c r="E518" s="47" t="s">
        <v>1148</v>
      </c>
      <c r="F518" s="27">
        <v>580</v>
      </c>
      <c r="G518" s="12">
        <f t="shared" si="8"/>
        <v>580</v>
      </c>
      <c r="H518" s="50" t="s">
        <v>1731</v>
      </c>
      <c r="I518" s="25" t="s">
        <v>12</v>
      </c>
      <c r="J518" s="58">
        <v>2590014460</v>
      </c>
    </row>
    <row r="519" spans="1:11" x14ac:dyDescent="0.25">
      <c r="A519" s="2">
        <v>483</v>
      </c>
      <c r="B519" s="24" t="s">
        <v>9</v>
      </c>
      <c r="C519" t="s">
        <v>1197</v>
      </c>
      <c r="D519" s="6">
        <v>45946</v>
      </c>
      <c r="E519" s="45" t="s">
        <v>1380</v>
      </c>
      <c r="F519" s="13">
        <v>1335</v>
      </c>
      <c r="G519" s="12">
        <f t="shared" si="8"/>
        <v>1335</v>
      </c>
      <c r="H519" s="31">
        <v>45949</v>
      </c>
      <c r="J519" s="60">
        <v>2590014339</v>
      </c>
    </row>
    <row r="520" spans="1:11" x14ac:dyDescent="0.25">
      <c r="A520" s="2">
        <v>484</v>
      </c>
      <c r="B520" s="24" t="s">
        <v>9</v>
      </c>
      <c r="C520" t="s">
        <v>1197</v>
      </c>
      <c r="D520" s="6">
        <v>45946</v>
      </c>
      <c r="E520" s="45" t="s">
        <v>1380</v>
      </c>
      <c r="F520" s="13">
        <v>1335</v>
      </c>
      <c r="G520" s="12">
        <f t="shared" si="8"/>
        <v>1335</v>
      </c>
      <c r="H520" s="31">
        <v>45949</v>
      </c>
      <c r="J520" s="60" t="s">
        <v>1684</v>
      </c>
    </row>
    <row r="521" spans="1:11" x14ac:dyDescent="0.25">
      <c r="A521" s="2">
        <v>497</v>
      </c>
      <c r="B521" s="24" t="s">
        <v>9</v>
      </c>
      <c r="C521" t="s">
        <v>1373</v>
      </c>
      <c r="D521" s="6">
        <v>45947</v>
      </c>
      <c r="E521" s="45" t="s">
        <v>1642</v>
      </c>
      <c r="F521" s="13">
        <v>2210</v>
      </c>
      <c r="G521" s="12">
        <f t="shared" si="8"/>
        <v>2210</v>
      </c>
      <c r="H521" s="31">
        <v>45951</v>
      </c>
      <c r="J521" s="60">
        <v>2590014446</v>
      </c>
    </row>
    <row r="522" spans="1:11" x14ac:dyDescent="0.25">
      <c r="A522" s="2">
        <v>492</v>
      </c>
      <c r="B522" s="24" t="s">
        <v>9</v>
      </c>
      <c r="C522" t="s">
        <v>1373</v>
      </c>
      <c r="D522" s="6">
        <v>45947</v>
      </c>
      <c r="E522" s="45" t="s">
        <v>1406</v>
      </c>
      <c r="F522" s="13">
        <v>2860</v>
      </c>
      <c r="G522" s="12">
        <f t="shared" si="8"/>
        <v>2860</v>
      </c>
      <c r="H522" s="31">
        <v>45951</v>
      </c>
      <c r="J522" s="60">
        <v>2590014446</v>
      </c>
    </row>
    <row r="523" spans="1:11" x14ac:dyDescent="0.25">
      <c r="A523" s="2">
        <v>493</v>
      </c>
      <c r="B523" s="24" t="s">
        <v>9</v>
      </c>
      <c r="C523" t="s">
        <v>1196</v>
      </c>
      <c r="D523" s="6">
        <v>45947</v>
      </c>
      <c r="E523" s="45" t="s">
        <v>1378</v>
      </c>
      <c r="F523" s="13">
        <v>620</v>
      </c>
      <c r="G523" s="12">
        <f t="shared" si="8"/>
        <v>620</v>
      </c>
      <c r="H523" s="31">
        <v>45951</v>
      </c>
      <c r="J523" s="60">
        <v>2590014462</v>
      </c>
    </row>
    <row r="524" spans="1:11" x14ac:dyDescent="0.25">
      <c r="A524" s="2">
        <v>494</v>
      </c>
      <c r="B524" s="24" t="s">
        <v>9</v>
      </c>
      <c r="C524" t="s">
        <v>1196</v>
      </c>
      <c r="D524" s="6">
        <v>45947</v>
      </c>
      <c r="E524" s="45" t="s">
        <v>1378</v>
      </c>
      <c r="F524" s="13">
        <v>620</v>
      </c>
      <c r="G524" s="12">
        <f t="shared" si="8"/>
        <v>620</v>
      </c>
      <c r="H524" s="31">
        <v>45951</v>
      </c>
      <c r="J524" s="60" t="s">
        <v>1683</v>
      </c>
    </row>
    <row r="525" spans="1:11" x14ac:dyDescent="0.25">
      <c r="A525" s="2">
        <v>498</v>
      </c>
      <c r="B525" s="24" t="s">
        <v>9</v>
      </c>
      <c r="C525" t="s">
        <v>1369</v>
      </c>
      <c r="D525" s="6">
        <v>45949</v>
      </c>
      <c r="E525" s="45" t="s">
        <v>1641</v>
      </c>
      <c r="F525" s="13">
        <v>160</v>
      </c>
      <c r="G525" s="12">
        <f t="shared" si="8"/>
        <v>160</v>
      </c>
      <c r="H525" s="31">
        <v>45951</v>
      </c>
      <c r="J525" s="60">
        <v>2590014487</v>
      </c>
    </row>
    <row r="526" spans="1:11" x14ac:dyDescent="0.25">
      <c r="A526" s="2">
        <v>509</v>
      </c>
      <c r="B526" s="24" t="s">
        <v>9</v>
      </c>
      <c r="C526" t="s">
        <v>1369</v>
      </c>
      <c r="D526" s="6">
        <v>45949</v>
      </c>
      <c r="E526" s="45" t="s">
        <v>1640</v>
      </c>
      <c r="F526" s="13">
        <v>255.84</v>
      </c>
      <c r="G526" s="12">
        <f t="shared" si="8"/>
        <v>255.84</v>
      </c>
      <c r="H526" s="30">
        <v>45954</v>
      </c>
      <c r="J526" s="60">
        <v>2590014703</v>
      </c>
    </row>
    <row r="527" spans="1:11" x14ac:dyDescent="0.25">
      <c r="A527" s="2">
        <v>503</v>
      </c>
      <c r="B527" s="24" t="s">
        <v>9</v>
      </c>
      <c r="C527" t="s">
        <v>1369</v>
      </c>
      <c r="D527" s="6">
        <v>45949</v>
      </c>
      <c r="E527" s="45" t="s">
        <v>1405</v>
      </c>
      <c r="F527" s="13">
        <v>414.84</v>
      </c>
      <c r="G527" s="12">
        <f t="shared" si="8"/>
        <v>414.84</v>
      </c>
      <c r="H527" s="31">
        <v>45954</v>
      </c>
      <c r="J527" s="60">
        <v>2590014699</v>
      </c>
    </row>
    <row r="528" spans="1:11" x14ac:dyDescent="0.25">
      <c r="A528" s="2">
        <v>510</v>
      </c>
      <c r="B528" s="24" t="s">
        <v>9</v>
      </c>
      <c r="C528" t="s">
        <v>1367</v>
      </c>
      <c r="D528" s="6">
        <v>45950</v>
      </c>
      <c r="E528" s="45" t="s">
        <v>1639</v>
      </c>
      <c r="F528" s="13">
        <v>174</v>
      </c>
      <c r="G528" s="12">
        <f t="shared" si="8"/>
        <v>174</v>
      </c>
      <c r="H528" s="31">
        <v>45954</v>
      </c>
      <c r="J528" s="60">
        <v>2590014703</v>
      </c>
    </row>
    <row r="529" spans="1:12" x14ac:dyDescent="0.25">
      <c r="A529" s="2">
        <v>504</v>
      </c>
      <c r="B529" s="24" t="s">
        <v>9</v>
      </c>
      <c r="C529" t="s">
        <v>1195</v>
      </c>
      <c r="D529" s="6">
        <v>45949</v>
      </c>
      <c r="E529" s="45" t="s">
        <v>1372</v>
      </c>
      <c r="F529" s="13">
        <v>325</v>
      </c>
      <c r="G529" s="12">
        <f t="shared" si="8"/>
        <v>325</v>
      </c>
      <c r="H529" s="30">
        <v>45954</v>
      </c>
      <c r="J529" s="60">
        <v>2590014701</v>
      </c>
    </row>
    <row r="530" spans="1:12" x14ac:dyDescent="0.25">
      <c r="A530" s="2">
        <v>507</v>
      </c>
      <c r="B530" s="24" t="s">
        <v>9</v>
      </c>
      <c r="C530" t="s">
        <v>1195</v>
      </c>
      <c r="D530" s="6">
        <v>45949</v>
      </c>
      <c r="E530" s="45" t="s">
        <v>1372</v>
      </c>
      <c r="F530" s="13">
        <v>325</v>
      </c>
      <c r="G530" s="12">
        <f t="shared" si="8"/>
        <v>325</v>
      </c>
      <c r="H530" s="31">
        <v>45954</v>
      </c>
      <c r="J530" s="60" t="s">
        <v>1682</v>
      </c>
    </row>
    <row r="531" spans="1:12" x14ac:dyDescent="0.25">
      <c r="A531" s="2">
        <v>518</v>
      </c>
      <c r="B531" s="24" t="s">
        <v>9</v>
      </c>
      <c r="C531" t="s">
        <v>1367</v>
      </c>
      <c r="D531" s="6">
        <v>45950</v>
      </c>
      <c r="E531" s="45" t="s">
        <v>1637</v>
      </c>
      <c r="F531" s="13">
        <v>1010</v>
      </c>
      <c r="G531" s="12">
        <f t="shared" si="8"/>
        <v>1010</v>
      </c>
      <c r="H531" s="30">
        <v>45959</v>
      </c>
      <c r="J531" s="60">
        <v>2590014917</v>
      </c>
    </row>
    <row r="532" spans="1:12" x14ac:dyDescent="0.25">
      <c r="A532" s="2">
        <v>670</v>
      </c>
      <c r="B532" s="24" t="s">
        <v>9</v>
      </c>
      <c r="C532" t="s">
        <v>1373</v>
      </c>
      <c r="D532" s="6">
        <v>45947</v>
      </c>
      <c r="E532" s="45" t="s">
        <v>1643</v>
      </c>
      <c r="F532" s="13">
        <v>650</v>
      </c>
      <c r="G532" s="12">
        <f t="shared" si="8"/>
        <v>0</v>
      </c>
      <c r="H532" s="4" t="s">
        <v>33</v>
      </c>
    </row>
    <row r="533" spans="1:12" x14ac:dyDescent="0.25">
      <c r="A533" s="2">
        <v>500</v>
      </c>
      <c r="B533" s="24" t="s">
        <v>9</v>
      </c>
      <c r="C533" t="s">
        <v>1367</v>
      </c>
      <c r="D533" s="6">
        <v>45950</v>
      </c>
      <c r="E533" s="45" t="s">
        <v>1636</v>
      </c>
      <c r="F533" s="13">
        <v>505</v>
      </c>
      <c r="G533" s="12">
        <f t="shared" si="8"/>
        <v>505</v>
      </c>
      <c r="H533" s="30">
        <v>45953</v>
      </c>
      <c r="J533" s="60">
        <v>2590014624</v>
      </c>
    </row>
    <row r="534" spans="1:12" x14ac:dyDescent="0.25">
      <c r="A534" s="2">
        <v>499</v>
      </c>
      <c r="B534" s="24" t="s">
        <v>9</v>
      </c>
      <c r="C534" t="s">
        <v>1367</v>
      </c>
      <c r="D534" s="6">
        <v>45950</v>
      </c>
      <c r="E534" s="45" t="s">
        <v>1404</v>
      </c>
      <c r="F534" s="13">
        <v>3309.3</v>
      </c>
      <c r="G534" s="12">
        <f t="shared" si="8"/>
        <v>3309.3</v>
      </c>
      <c r="H534" s="30">
        <v>45953</v>
      </c>
      <c r="I534" s="9"/>
      <c r="J534" s="60">
        <v>2590014624</v>
      </c>
    </row>
    <row r="535" spans="1:12" x14ac:dyDescent="0.25">
      <c r="A535" s="2">
        <v>514</v>
      </c>
      <c r="B535" s="24" t="s">
        <v>9</v>
      </c>
      <c r="C535" t="s">
        <v>1194</v>
      </c>
      <c r="D535" s="6">
        <v>45950</v>
      </c>
      <c r="E535" s="45" t="s">
        <v>1363</v>
      </c>
      <c r="F535" s="13">
        <v>470</v>
      </c>
      <c r="G535" s="12">
        <f t="shared" si="8"/>
        <v>470</v>
      </c>
      <c r="H535" s="30">
        <v>45956</v>
      </c>
      <c r="J535" s="60">
        <v>2590014766</v>
      </c>
      <c r="K535" s="17"/>
      <c r="L535" s="17"/>
    </row>
    <row r="536" spans="1:12" x14ac:dyDescent="0.25">
      <c r="A536" s="2">
        <v>515</v>
      </c>
      <c r="B536" s="24" t="s">
        <v>9</v>
      </c>
      <c r="C536" t="s">
        <v>1194</v>
      </c>
      <c r="D536" s="6">
        <v>45950</v>
      </c>
      <c r="E536" s="45" t="s">
        <v>1363</v>
      </c>
      <c r="F536" s="13">
        <v>470</v>
      </c>
      <c r="G536" s="12">
        <f t="shared" si="8"/>
        <v>470</v>
      </c>
      <c r="H536" s="31">
        <v>45956</v>
      </c>
      <c r="J536" s="60" t="s">
        <v>1681</v>
      </c>
    </row>
    <row r="537" spans="1:12" x14ac:dyDescent="0.25">
      <c r="A537" s="2">
        <v>43</v>
      </c>
      <c r="B537" s="24" t="s">
        <v>9</v>
      </c>
      <c r="C537" s="46" t="s">
        <v>1149</v>
      </c>
      <c r="D537" s="26">
        <v>45938</v>
      </c>
      <c r="E537" s="48" t="s">
        <v>1747</v>
      </c>
      <c r="F537" s="27">
        <v>580</v>
      </c>
      <c r="G537" s="12">
        <f t="shared" si="8"/>
        <v>0</v>
      </c>
      <c r="H537" s="50" t="s">
        <v>33</v>
      </c>
      <c r="I537" s="25" t="s">
        <v>12</v>
      </c>
      <c r="J537" s="58"/>
    </row>
    <row r="538" spans="1:12" x14ac:dyDescent="0.25">
      <c r="A538" s="2">
        <v>44</v>
      </c>
      <c r="B538" s="24" t="s">
        <v>9</v>
      </c>
      <c r="C538" s="46" t="s">
        <v>1155</v>
      </c>
      <c r="D538" s="26">
        <v>45928</v>
      </c>
      <c r="E538" s="48" t="s">
        <v>1748</v>
      </c>
      <c r="F538" s="27">
        <v>319.05</v>
      </c>
      <c r="G538" s="12">
        <f t="shared" si="8"/>
        <v>319.05</v>
      </c>
      <c r="H538" s="51">
        <v>45758.293055555558</v>
      </c>
      <c r="I538" s="25" t="s">
        <v>12</v>
      </c>
      <c r="J538" s="58">
        <v>2590015239</v>
      </c>
    </row>
    <row r="539" spans="1:12" x14ac:dyDescent="0.25">
      <c r="A539" s="2">
        <v>512</v>
      </c>
      <c r="B539" s="24" t="s">
        <v>9</v>
      </c>
      <c r="C539" t="s">
        <v>1192</v>
      </c>
      <c r="D539" s="6">
        <v>45952</v>
      </c>
      <c r="E539" s="45" t="s">
        <v>1357</v>
      </c>
      <c r="F539" s="13">
        <v>600</v>
      </c>
      <c r="G539" s="12">
        <f t="shared" si="8"/>
        <v>0</v>
      </c>
      <c r="H539" s="50" t="s">
        <v>33</v>
      </c>
    </row>
    <row r="540" spans="1:12" x14ac:dyDescent="0.25">
      <c r="A540" s="2">
        <v>580</v>
      </c>
      <c r="B540" s="24" t="s">
        <v>9</v>
      </c>
      <c r="C540" t="s">
        <v>1192</v>
      </c>
      <c r="D540" s="6">
        <v>45952</v>
      </c>
      <c r="E540" s="45" t="s">
        <v>1357</v>
      </c>
      <c r="F540" s="13">
        <v>600</v>
      </c>
      <c r="G540" s="12">
        <f t="shared" si="8"/>
        <v>0</v>
      </c>
      <c r="H540" s="50" t="s">
        <v>33</v>
      </c>
    </row>
    <row r="541" spans="1:12" x14ac:dyDescent="0.25">
      <c r="A541" s="2">
        <v>519</v>
      </c>
      <c r="B541" s="24" t="s">
        <v>9</v>
      </c>
      <c r="C541" t="s">
        <v>1193</v>
      </c>
      <c r="D541" s="6">
        <v>45951</v>
      </c>
      <c r="E541" s="45" t="s">
        <v>1361</v>
      </c>
      <c r="F541" s="13">
        <v>1026</v>
      </c>
      <c r="G541" s="12">
        <f t="shared" si="8"/>
        <v>1026</v>
      </c>
      <c r="H541" s="31">
        <v>45960</v>
      </c>
      <c r="J541" s="60">
        <v>2590014997</v>
      </c>
    </row>
    <row r="542" spans="1:12" x14ac:dyDescent="0.25">
      <c r="A542" s="2">
        <v>520</v>
      </c>
      <c r="B542" s="24" t="s">
        <v>9</v>
      </c>
      <c r="C542" t="s">
        <v>1193</v>
      </c>
      <c r="D542" s="6">
        <v>45951</v>
      </c>
      <c r="E542" s="45" t="s">
        <v>1361</v>
      </c>
      <c r="F542" s="13">
        <v>1026</v>
      </c>
      <c r="G542" s="12">
        <f t="shared" si="8"/>
        <v>1026</v>
      </c>
      <c r="H542" s="30">
        <v>45960</v>
      </c>
      <c r="J542" s="60" t="s">
        <v>1680</v>
      </c>
    </row>
    <row r="543" spans="1:12" x14ac:dyDescent="0.25">
      <c r="A543" s="2">
        <v>671</v>
      </c>
      <c r="B543" s="24" t="s">
        <v>9</v>
      </c>
      <c r="C543" t="s">
        <v>1358</v>
      </c>
      <c r="D543" s="6">
        <v>45951</v>
      </c>
      <c r="E543" s="45" t="s">
        <v>1634</v>
      </c>
      <c r="F543" s="13">
        <v>770</v>
      </c>
      <c r="G543" s="12">
        <f t="shared" si="8"/>
        <v>770</v>
      </c>
      <c r="H543" s="30">
        <v>46003</v>
      </c>
      <c r="J543" s="60">
        <v>2590017433</v>
      </c>
    </row>
    <row r="544" spans="1:12" x14ac:dyDescent="0.25">
      <c r="A544" s="2">
        <v>513</v>
      </c>
      <c r="B544" s="24" t="s">
        <v>9</v>
      </c>
      <c r="C544" t="s">
        <v>1358</v>
      </c>
      <c r="D544" s="6">
        <v>45951</v>
      </c>
      <c r="E544" s="45" t="s">
        <v>1634</v>
      </c>
      <c r="F544" s="13">
        <v>770</v>
      </c>
      <c r="G544" s="12">
        <f t="shared" ref="G544" si="9">IF(J544&gt;0,F544,0)</f>
        <v>770</v>
      </c>
      <c r="H544" s="42">
        <v>46003.427777777775</v>
      </c>
      <c r="J544" s="60">
        <v>2590017433</v>
      </c>
    </row>
    <row r="545" spans="1:10" x14ac:dyDescent="0.25">
      <c r="A545" s="2">
        <v>513</v>
      </c>
      <c r="B545" s="24" t="s">
        <v>9</v>
      </c>
      <c r="C545" t="s">
        <v>1358</v>
      </c>
      <c r="D545" s="6">
        <v>45951</v>
      </c>
      <c r="E545" s="45" t="s">
        <v>1635</v>
      </c>
      <c r="F545" s="13">
        <v>33</v>
      </c>
      <c r="G545" s="12">
        <f t="shared" si="8"/>
        <v>0</v>
      </c>
      <c r="H545" s="4" t="s">
        <v>33</v>
      </c>
    </row>
    <row r="546" spans="1:10" x14ac:dyDescent="0.25">
      <c r="A546" s="2">
        <v>662</v>
      </c>
      <c r="B546" s="24" t="s">
        <v>9</v>
      </c>
      <c r="C546" t="s">
        <v>1358</v>
      </c>
      <c r="D546" s="6">
        <v>45951</v>
      </c>
      <c r="E546" s="45" t="s">
        <v>1635</v>
      </c>
      <c r="F546" s="13">
        <v>84</v>
      </c>
      <c r="G546" s="12">
        <f t="shared" si="8"/>
        <v>0</v>
      </c>
      <c r="H546" s="4" t="s">
        <v>33</v>
      </c>
    </row>
    <row r="547" spans="1:10" x14ac:dyDescent="0.25">
      <c r="A547" s="2">
        <v>528</v>
      </c>
      <c r="B547" s="24" t="s">
        <v>9</v>
      </c>
      <c r="C547" t="s">
        <v>1344</v>
      </c>
      <c r="D547" s="6">
        <v>45954</v>
      </c>
      <c r="E547" s="45" t="s">
        <v>1346</v>
      </c>
      <c r="F547" s="13">
        <v>570</v>
      </c>
      <c r="G547" s="12">
        <f t="shared" si="8"/>
        <v>570</v>
      </c>
      <c r="H547" s="31">
        <v>45960</v>
      </c>
      <c r="J547" s="60">
        <v>2590015019</v>
      </c>
    </row>
    <row r="548" spans="1:10" x14ac:dyDescent="0.25">
      <c r="A548" s="2">
        <v>529</v>
      </c>
      <c r="B548" s="24" t="s">
        <v>9</v>
      </c>
      <c r="C548" t="s">
        <v>1344</v>
      </c>
      <c r="D548" s="6">
        <v>45954</v>
      </c>
      <c r="E548" s="45" t="s">
        <v>1346</v>
      </c>
      <c r="F548" s="13">
        <v>570</v>
      </c>
      <c r="G548" s="12">
        <f t="shared" si="8"/>
        <v>570</v>
      </c>
      <c r="H548" s="31">
        <v>45960</v>
      </c>
      <c r="J548" s="60" t="s">
        <v>1679</v>
      </c>
    </row>
    <row r="549" spans="1:10" x14ac:dyDescent="0.25">
      <c r="A549" s="2">
        <v>506</v>
      </c>
      <c r="B549" t="s">
        <v>95</v>
      </c>
      <c r="C549" t="s">
        <v>1341</v>
      </c>
      <c r="D549" s="6">
        <v>45954</v>
      </c>
      <c r="E549" s="45" t="s">
        <v>1343</v>
      </c>
      <c r="F549" s="13">
        <v>482878.68</v>
      </c>
      <c r="G549" s="12">
        <f t="shared" si="8"/>
        <v>0</v>
      </c>
      <c r="H549" s="50" t="s">
        <v>33</v>
      </c>
    </row>
    <row r="550" spans="1:10" x14ac:dyDescent="0.25">
      <c r="A550" s="2">
        <v>577</v>
      </c>
      <c r="B550" s="24" t="s">
        <v>9</v>
      </c>
      <c r="C550" t="s">
        <v>1341</v>
      </c>
      <c r="D550" s="6">
        <v>45954</v>
      </c>
      <c r="E550" s="45" t="s">
        <v>1343</v>
      </c>
      <c r="F550" s="13">
        <v>482878.68</v>
      </c>
      <c r="G550" s="12">
        <f t="shared" si="8"/>
        <v>0</v>
      </c>
      <c r="H550" s="50" t="s">
        <v>33</v>
      </c>
    </row>
    <row r="551" spans="1:10" x14ac:dyDescent="0.25">
      <c r="A551" s="2">
        <v>508</v>
      </c>
      <c r="B551" s="24" t="s">
        <v>9</v>
      </c>
      <c r="C551" t="s">
        <v>1347</v>
      </c>
      <c r="D551" s="6">
        <v>45954</v>
      </c>
      <c r="E551" s="45" t="s">
        <v>1349</v>
      </c>
      <c r="F551" s="13">
        <v>32940</v>
      </c>
      <c r="G551" s="12">
        <f t="shared" si="8"/>
        <v>0</v>
      </c>
      <c r="H551" s="50" t="s">
        <v>33</v>
      </c>
    </row>
    <row r="552" spans="1:10" x14ac:dyDescent="0.25">
      <c r="A552" s="2">
        <v>576</v>
      </c>
      <c r="B552" s="24" t="s">
        <v>9</v>
      </c>
      <c r="C552" t="s">
        <v>1347</v>
      </c>
      <c r="D552" s="6">
        <v>45954</v>
      </c>
      <c r="E552" s="45" t="s">
        <v>1349</v>
      </c>
      <c r="F552" s="13">
        <v>32940</v>
      </c>
      <c r="G552" s="12">
        <f t="shared" si="8"/>
        <v>0</v>
      </c>
      <c r="H552" s="50" t="s">
        <v>33</v>
      </c>
    </row>
    <row r="553" spans="1:10" x14ac:dyDescent="0.25">
      <c r="A553" s="2">
        <v>665</v>
      </c>
      <c r="B553" s="24" t="s">
        <v>9</v>
      </c>
      <c r="C553" t="s">
        <v>1367</v>
      </c>
      <c r="D553" s="6">
        <v>45950</v>
      </c>
      <c r="E553" s="45" t="s">
        <v>1638</v>
      </c>
      <c r="F553" s="13">
        <v>1462.8</v>
      </c>
      <c r="G553" s="12">
        <f t="shared" si="8"/>
        <v>0</v>
      </c>
      <c r="H553" s="4" t="s">
        <v>33</v>
      </c>
    </row>
    <row r="554" spans="1:10" x14ac:dyDescent="0.25">
      <c r="A554" s="2">
        <v>521</v>
      </c>
      <c r="B554" s="24" t="s">
        <v>9</v>
      </c>
      <c r="C554" t="s">
        <v>1191</v>
      </c>
      <c r="D554" s="6">
        <v>45953</v>
      </c>
      <c r="E554" s="45" t="s">
        <v>1351</v>
      </c>
      <c r="F554" s="13">
        <v>2850</v>
      </c>
      <c r="G554" s="12">
        <f t="shared" si="8"/>
        <v>2850</v>
      </c>
      <c r="H554" s="31">
        <v>45960</v>
      </c>
      <c r="J554" s="60">
        <v>2590015036</v>
      </c>
    </row>
    <row r="555" spans="1:10" x14ac:dyDescent="0.25">
      <c r="A555" s="2">
        <v>522</v>
      </c>
      <c r="B555" s="24" t="s">
        <v>9</v>
      </c>
      <c r="C555" t="s">
        <v>1191</v>
      </c>
      <c r="D555" s="6">
        <v>45953</v>
      </c>
      <c r="E555" s="45" t="s">
        <v>1351</v>
      </c>
      <c r="F555" s="13">
        <v>2850</v>
      </c>
      <c r="G555" s="12">
        <f t="shared" si="8"/>
        <v>2850</v>
      </c>
      <c r="H555" s="30">
        <v>45960</v>
      </c>
      <c r="J555" s="60" t="s">
        <v>1678</v>
      </c>
    </row>
    <row r="556" spans="1:10" x14ac:dyDescent="0.25">
      <c r="A556" s="2">
        <v>581</v>
      </c>
      <c r="B556" s="24" t="s">
        <v>9</v>
      </c>
      <c r="C556" t="s">
        <v>1306</v>
      </c>
      <c r="D556" s="6">
        <v>45958</v>
      </c>
      <c r="E556" s="45" t="s">
        <v>1307</v>
      </c>
      <c r="F556" s="13">
        <v>174</v>
      </c>
      <c r="G556" s="12">
        <f t="shared" si="8"/>
        <v>174</v>
      </c>
      <c r="H556" s="31">
        <v>45974</v>
      </c>
      <c r="J556" s="60">
        <v>2590015776</v>
      </c>
    </row>
    <row r="557" spans="1:10" x14ac:dyDescent="0.25">
      <c r="A557" s="2">
        <v>582</v>
      </c>
      <c r="B557" s="24" t="s">
        <v>9</v>
      </c>
      <c r="C557" t="s">
        <v>1306</v>
      </c>
      <c r="D557" s="6">
        <v>45958</v>
      </c>
      <c r="E557" s="45" t="s">
        <v>1307</v>
      </c>
      <c r="F557" s="13">
        <v>174</v>
      </c>
      <c r="G557" s="12">
        <f t="shared" si="8"/>
        <v>174</v>
      </c>
      <c r="H557" s="31">
        <v>45974</v>
      </c>
      <c r="J557" s="60" t="s">
        <v>1677</v>
      </c>
    </row>
    <row r="558" spans="1:10" x14ac:dyDescent="0.25">
      <c r="A558" s="2">
        <v>632</v>
      </c>
      <c r="B558" s="24" t="s">
        <v>9</v>
      </c>
      <c r="C558" t="s">
        <v>1311</v>
      </c>
      <c r="D558" s="6">
        <v>45957</v>
      </c>
      <c r="E558" s="45" t="s">
        <v>1622</v>
      </c>
      <c r="F558" s="13">
        <v>750</v>
      </c>
      <c r="G558" s="12">
        <f t="shared" si="8"/>
        <v>750</v>
      </c>
      <c r="H558" s="31">
        <v>45986</v>
      </c>
      <c r="J558" s="60">
        <v>2590016410</v>
      </c>
    </row>
    <row r="559" spans="1:10" x14ac:dyDescent="0.25">
      <c r="A559" s="2">
        <v>495</v>
      </c>
      <c r="B559" s="24" t="s">
        <v>9</v>
      </c>
      <c r="C559" t="s">
        <v>1311</v>
      </c>
      <c r="D559" s="6">
        <v>45957</v>
      </c>
      <c r="E559" s="45" t="s">
        <v>1622</v>
      </c>
      <c r="F559" s="13">
        <v>55</v>
      </c>
      <c r="G559" s="12">
        <f t="shared" si="8"/>
        <v>0</v>
      </c>
      <c r="H559" s="50" t="s">
        <v>33</v>
      </c>
    </row>
    <row r="560" spans="1:10" x14ac:dyDescent="0.25">
      <c r="A560" s="2">
        <v>495</v>
      </c>
      <c r="B560" s="24" t="s">
        <v>9</v>
      </c>
      <c r="C560" t="s">
        <v>1311</v>
      </c>
      <c r="D560" s="6">
        <v>45957</v>
      </c>
      <c r="E560" s="45" t="s">
        <v>1623</v>
      </c>
      <c r="F560" s="13">
        <v>997.5</v>
      </c>
      <c r="G560" s="12">
        <f t="shared" ref="G560" si="10">IF(J560&gt;0,F560,0)</f>
        <v>997.5</v>
      </c>
      <c r="H560" s="50" t="s">
        <v>1759</v>
      </c>
      <c r="J560" s="60">
        <v>2590016079</v>
      </c>
    </row>
    <row r="561" spans="1:10" x14ac:dyDescent="0.25">
      <c r="A561" s="2">
        <v>495</v>
      </c>
      <c r="B561" s="24" t="s">
        <v>9</v>
      </c>
      <c r="C561" t="s">
        <v>1311</v>
      </c>
      <c r="D561" s="6">
        <v>45957</v>
      </c>
      <c r="E561" s="45" t="s">
        <v>1624</v>
      </c>
      <c r="F561" s="13">
        <v>1150</v>
      </c>
      <c r="G561" s="12">
        <f t="shared" ref="G561" si="11">IF(J561&gt;0,F561,0)</f>
        <v>1150</v>
      </c>
      <c r="H561" s="50" t="s">
        <v>1760</v>
      </c>
      <c r="J561" s="60">
        <v>2590016323</v>
      </c>
    </row>
    <row r="562" spans="1:10" x14ac:dyDescent="0.25">
      <c r="A562" s="2">
        <v>495</v>
      </c>
      <c r="B562" s="24" t="s">
        <v>9</v>
      </c>
      <c r="C562" t="s">
        <v>1311</v>
      </c>
      <c r="D562" s="6">
        <v>45957</v>
      </c>
      <c r="E562" s="45" t="s">
        <v>1625</v>
      </c>
      <c r="F562" s="13">
        <v>55</v>
      </c>
      <c r="G562" s="12">
        <f t="shared" si="8"/>
        <v>55</v>
      </c>
      <c r="H562" s="51">
        <v>45758.404166666667</v>
      </c>
      <c r="J562" s="60">
        <v>2590015253</v>
      </c>
    </row>
    <row r="563" spans="1:10" x14ac:dyDescent="0.25">
      <c r="A563" s="2">
        <v>643</v>
      </c>
      <c r="B563" s="24" t="s">
        <v>9</v>
      </c>
      <c r="C563" t="s">
        <v>1311</v>
      </c>
      <c r="D563" s="6">
        <v>45957</v>
      </c>
      <c r="E563" s="45" t="s">
        <v>1623</v>
      </c>
      <c r="F563" s="13">
        <v>997.5</v>
      </c>
      <c r="G563" s="12">
        <f t="shared" si="8"/>
        <v>997.5</v>
      </c>
      <c r="H563" s="31">
        <v>45989</v>
      </c>
      <c r="J563" s="60">
        <v>2590016079</v>
      </c>
    </row>
    <row r="564" spans="1:10" x14ac:dyDescent="0.25">
      <c r="A564" s="2">
        <v>628</v>
      </c>
      <c r="B564" s="24" t="s">
        <v>9</v>
      </c>
      <c r="C564" t="s">
        <v>1311</v>
      </c>
      <c r="D564" s="6">
        <v>45957</v>
      </c>
      <c r="E564" s="45" t="s">
        <v>1624</v>
      </c>
      <c r="F564" s="13">
        <v>1150</v>
      </c>
      <c r="G564" s="12">
        <f t="shared" si="8"/>
        <v>1150</v>
      </c>
      <c r="H564" s="31">
        <v>45984</v>
      </c>
      <c r="J564" s="60">
        <v>2590016323</v>
      </c>
    </row>
    <row r="565" spans="1:10" x14ac:dyDescent="0.25">
      <c r="A565" s="2">
        <v>554</v>
      </c>
      <c r="B565" s="24" t="s">
        <v>9</v>
      </c>
      <c r="C565" t="s">
        <v>1311</v>
      </c>
      <c r="D565" s="6">
        <v>45957</v>
      </c>
      <c r="E565" s="45" t="s">
        <v>1625</v>
      </c>
      <c r="F565" s="13">
        <v>700</v>
      </c>
      <c r="G565" s="12">
        <f t="shared" si="8"/>
        <v>700</v>
      </c>
      <c r="H565" s="31">
        <v>45965</v>
      </c>
      <c r="J565" s="60">
        <v>2590015253</v>
      </c>
    </row>
    <row r="566" spans="1:10" x14ac:dyDescent="0.25">
      <c r="A566" s="2">
        <v>550</v>
      </c>
      <c r="B566" s="24" t="s">
        <v>9</v>
      </c>
      <c r="C566" t="s">
        <v>1313</v>
      </c>
      <c r="D566" s="6">
        <v>45957</v>
      </c>
      <c r="E566" s="45" t="s">
        <v>1630</v>
      </c>
      <c r="F566" s="13">
        <v>213.2</v>
      </c>
      <c r="G566" s="12">
        <f t="shared" si="8"/>
        <v>213.2</v>
      </c>
      <c r="H566" s="31">
        <v>45962</v>
      </c>
      <c r="J566" s="60">
        <v>2590015155</v>
      </c>
    </row>
    <row r="567" spans="1:10" x14ac:dyDescent="0.25">
      <c r="A567" s="2">
        <v>491</v>
      </c>
      <c r="B567" s="24" t="s">
        <v>9</v>
      </c>
      <c r="C567" t="s">
        <v>1300</v>
      </c>
      <c r="D567" s="6">
        <v>45959</v>
      </c>
      <c r="E567" s="45" t="s">
        <v>1302</v>
      </c>
      <c r="F567" s="13">
        <v>625</v>
      </c>
      <c r="G567" s="12">
        <f t="shared" si="8"/>
        <v>625</v>
      </c>
      <c r="H567" s="50" t="s">
        <v>1761</v>
      </c>
      <c r="J567" s="60">
        <v>2590018303</v>
      </c>
    </row>
    <row r="568" spans="1:10" x14ac:dyDescent="0.25">
      <c r="A568" s="2">
        <v>695</v>
      </c>
      <c r="B568" s="24" t="s">
        <v>9</v>
      </c>
      <c r="C568" t="s">
        <v>1300</v>
      </c>
      <c r="D568" s="6">
        <v>45959</v>
      </c>
      <c r="E568" s="45" t="s">
        <v>1302</v>
      </c>
      <c r="F568" s="13">
        <v>625</v>
      </c>
      <c r="G568" s="12">
        <f t="shared" si="8"/>
        <v>625</v>
      </c>
      <c r="H568" s="31">
        <v>46017</v>
      </c>
      <c r="J568" s="60" t="s">
        <v>1676</v>
      </c>
    </row>
    <row r="569" spans="1:10" x14ac:dyDescent="0.25">
      <c r="A569" s="2">
        <v>73</v>
      </c>
      <c r="B569" s="24" t="s">
        <v>9</v>
      </c>
      <c r="C569" t="s">
        <v>1318</v>
      </c>
      <c r="D569" s="6">
        <v>45956</v>
      </c>
      <c r="E569" s="45" t="s">
        <v>1320</v>
      </c>
      <c r="F569" s="13">
        <v>126</v>
      </c>
      <c r="G569" s="12">
        <f t="shared" si="8"/>
        <v>126</v>
      </c>
      <c r="H569" s="30">
        <v>45758.380555555559</v>
      </c>
      <c r="J569" s="60">
        <v>2590015249</v>
      </c>
    </row>
    <row r="570" spans="1:10" x14ac:dyDescent="0.25">
      <c r="A570" s="2">
        <v>552</v>
      </c>
      <c r="B570" s="24" t="s">
        <v>9</v>
      </c>
      <c r="C570" t="s">
        <v>1318</v>
      </c>
      <c r="D570" s="6">
        <v>45956</v>
      </c>
      <c r="E570" s="45" t="s">
        <v>1320</v>
      </c>
      <c r="F570" s="13">
        <v>126</v>
      </c>
      <c r="G570" s="12">
        <f t="shared" si="8"/>
        <v>126</v>
      </c>
      <c r="H570" s="31">
        <v>45965</v>
      </c>
      <c r="J570" s="60" t="s">
        <v>1675</v>
      </c>
    </row>
    <row r="571" spans="1:10" x14ac:dyDescent="0.25">
      <c r="A571" s="2">
        <v>561</v>
      </c>
      <c r="B571" s="24" t="s">
        <v>9</v>
      </c>
      <c r="C571" t="s">
        <v>1296</v>
      </c>
      <c r="D571" s="6">
        <v>45960</v>
      </c>
      <c r="E571" s="45" t="s">
        <v>1620</v>
      </c>
      <c r="F571" s="13">
        <v>6485</v>
      </c>
      <c r="G571" s="12">
        <f t="shared" si="8"/>
        <v>6485</v>
      </c>
      <c r="H571" s="31">
        <v>45966</v>
      </c>
      <c r="J571" s="60">
        <v>2590015312</v>
      </c>
    </row>
    <row r="572" spans="1:10" x14ac:dyDescent="0.25">
      <c r="A572" s="2">
        <v>84</v>
      </c>
      <c r="B572" s="24" t="s">
        <v>9</v>
      </c>
      <c r="C572" t="s">
        <v>1296</v>
      </c>
      <c r="D572" s="6">
        <v>45960</v>
      </c>
      <c r="E572" s="45" t="s">
        <v>1403</v>
      </c>
      <c r="F572" s="13">
        <v>11285</v>
      </c>
      <c r="G572" s="12">
        <f t="shared" si="8"/>
        <v>11285</v>
      </c>
      <c r="H572" s="31">
        <v>45788.29583333333</v>
      </c>
      <c r="I572" s="9"/>
      <c r="J572" s="60">
        <v>2590015312</v>
      </c>
    </row>
    <row r="573" spans="1:10" x14ac:dyDescent="0.25">
      <c r="A573" s="2">
        <v>563</v>
      </c>
      <c r="B573" s="24" t="s">
        <v>9</v>
      </c>
      <c r="C573" t="s">
        <v>1296</v>
      </c>
      <c r="D573" s="6">
        <v>45960</v>
      </c>
      <c r="E573" s="45" t="s">
        <v>1621</v>
      </c>
      <c r="F573" s="13">
        <v>4800</v>
      </c>
      <c r="G573" s="12">
        <f t="shared" si="8"/>
        <v>4800</v>
      </c>
      <c r="H573" s="31">
        <v>45967</v>
      </c>
      <c r="J573" s="60">
        <v>2590015408</v>
      </c>
    </row>
    <row r="574" spans="1:10" x14ac:dyDescent="0.25">
      <c r="A574" s="2">
        <v>556</v>
      </c>
      <c r="B574" s="24" t="s">
        <v>9</v>
      </c>
      <c r="C574" t="s">
        <v>1294</v>
      </c>
      <c r="D574" s="6">
        <v>45960</v>
      </c>
      <c r="E574" s="45" t="s">
        <v>1619</v>
      </c>
      <c r="F574" s="13">
        <v>204.7</v>
      </c>
      <c r="G574" s="12">
        <f t="shared" si="8"/>
        <v>204.7</v>
      </c>
      <c r="H574" s="31">
        <v>45965</v>
      </c>
      <c r="J574" s="60">
        <v>2590015267</v>
      </c>
    </row>
    <row r="575" spans="1:10" x14ac:dyDescent="0.25">
      <c r="A575" s="2">
        <v>560</v>
      </c>
      <c r="B575" s="24" t="s">
        <v>9</v>
      </c>
      <c r="C575" t="s">
        <v>1294</v>
      </c>
      <c r="D575" s="6">
        <v>45960</v>
      </c>
      <c r="E575" s="45" t="s">
        <v>1618</v>
      </c>
      <c r="F575" s="13">
        <v>120</v>
      </c>
      <c r="G575" s="12">
        <f t="shared" si="8"/>
        <v>120</v>
      </c>
      <c r="H575" s="31">
        <v>45966</v>
      </c>
      <c r="J575" s="60">
        <v>2590015360</v>
      </c>
    </row>
    <row r="576" spans="1:10" x14ac:dyDescent="0.25">
      <c r="A576" s="2">
        <v>85</v>
      </c>
      <c r="B576" s="24" t="s">
        <v>9</v>
      </c>
      <c r="C576" t="s">
        <v>1294</v>
      </c>
      <c r="D576" s="6">
        <v>45960</v>
      </c>
      <c r="E576" s="45" t="s">
        <v>1402</v>
      </c>
      <c r="F576" s="13">
        <v>324.7</v>
      </c>
      <c r="G576" s="12">
        <f t="shared" si="8"/>
        <v>324.7</v>
      </c>
      <c r="H576" s="31">
        <v>45788.545138888891</v>
      </c>
      <c r="J576" s="60">
        <v>2590015360</v>
      </c>
    </row>
    <row r="577" spans="1:10" x14ac:dyDescent="0.25">
      <c r="A577" s="2">
        <v>610</v>
      </c>
      <c r="B577" s="24" t="s">
        <v>9</v>
      </c>
      <c r="C577" t="s">
        <v>1286</v>
      </c>
      <c r="D577" s="6">
        <v>45964</v>
      </c>
      <c r="E577" s="45" t="s">
        <v>1616</v>
      </c>
      <c r="F577" s="13">
        <v>1574.4</v>
      </c>
      <c r="G577" s="12">
        <f t="shared" si="8"/>
        <v>1574.4</v>
      </c>
      <c r="H577" s="31">
        <v>45980</v>
      </c>
      <c r="J577" s="60">
        <v>2590016112</v>
      </c>
    </row>
    <row r="578" spans="1:10" x14ac:dyDescent="0.25">
      <c r="A578" s="2">
        <v>485</v>
      </c>
      <c r="B578" s="24" t="s">
        <v>9</v>
      </c>
      <c r="C578" t="s">
        <v>1286</v>
      </c>
      <c r="D578" s="6">
        <v>45964</v>
      </c>
      <c r="E578" s="45" t="s">
        <v>1616</v>
      </c>
      <c r="F578" s="13">
        <v>1574.4</v>
      </c>
      <c r="G578" s="12">
        <f t="shared" ref="G578" si="12">IF(J578&gt;0,F578,0)</f>
        <v>1574.4</v>
      </c>
      <c r="H578" s="50" t="s">
        <v>1762</v>
      </c>
      <c r="J578" s="60">
        <v>2590016112</v>
      </c>
    </row>
    <row r="579" spans="1:10" x14ac:dyDescent="0.25">
      <c r="A579" s="2">
        <v>485</v>
      </c>
      <c r="B579" s="24" t="s">
        <v>9</v>
      </c>
      <c r="C579" t="s">
        <v>1286</v>
      </c>
      <c r="D579" s="6">
        <v>45964</v>
      </c>
      <c r="E579" s="45" t="s">
        <v>1617</v>
      </c>
      <c r="F579" s="13">
        <v>290</v>
      </c>
      <c r="G579" s="12">
        <f t="shared" si="8"/>
        <v>290</v>
      </c>
      <c r="H579" s="51">
        <v>45788.338194444441</v>
      </c>
      <c r="J579" s="60">
        <v>2590015318</v>
      </c>
    </row>
    <row r="580" spans="1:10" x14ac:dyDescent="0.25">
      <c r="A580" s="2">
        <v>562</v>
      </c>
      <c r="B580" s="24" t="s">
        <v>9</v>
      </c>
      <c r="C580" t="s">
        <v>1286</v>
      </c>
      <c r="D580" s="6">
        <v>45964</v>
      </c>
      <c r="E580" s="45" t="s">
        <v>1617</v>
      </c>
      <c r="F580" s="13">
        <v>290</v>
      </c>
      <c r="G580" s="12">
        <f t="shared" si="8"/>
        <v>290</v>
      </c>
      <c r="H580" s="30">
        <v>45966</v>
      </c>
      <c r="J580" s="60">
        <v>2590015318</v>
      </c>
    </row>
    <row r="581" spans="1:10" x14ac:dyDescent="0.25">
      <c r="A581" s="2">
        <v>564</v>
      </c>
      <c r="B581" s="24" t="s">
        <v>9</v>
      </c>
      <c r="C581" t="s">
        <v>1313</v>
      </c>
      <c r="D581" s="6">
        <v>45957</v>
      </c>
      <c r="E581" s="45" t="s">
        <v>1627</v>
      </c>
      <c r="F581" s="13">
        <v>430</v>
      </c>
      <c r="G581" s="12">
        <f t="shared" si="8"/>
        <v>430</v>
      </c>
      <c r="H581" s="30">
        <v>45968</v>
      </c>
      <c r="J581" s="60">
        <v>2590015488</v>
      </c>
    </row>
    <row r="582" spans="1:10" x14ac:dyDescent="0.25">
      <c r="A582" s="2">
        <v>591</v>
      </c>
      <c r="B582" s="24" t="s">
        <v>9</v>
      </c>
      <c r="C582" t="s">
        <v>1250</v>
      </c>
      <c r="D582" s="6">
        <v>45967</v>
      </c>
      <c r="E582" s="45" t="s">
        <v>1609</v>
      </c>
      <c r="F582" s="13">
        <v>275.5</v>
      </c>
      <c r="G582" s="12">
        <f t="shared" ref="G582:G647" si="13">IF(J582&gt;0,F582,0)</f>
        <v>275.5</v>
      </c>
      <c r="H582" s="31">
        <v>45974</v>
      </c>
      <c r="J582" s="60">
        <v>2590015802</v>
      </c>
    </row>
    <row r="583" spans="1:10" x14ac:dyDescent="0.25">
      <c r="A583" s="64">
        <v>655</v>
      </c>
      <c r="B583" s="65" t="s">
        <v>9</v>
      </c>
      <c r="C583" s="66" t="s">
        <v>1313</v>
      </c>
      <c r="D583" s="67">
        <v>45957</v>
      </c>
      <c r="E583" s="55" t="s">
        <v>1628</v>
      </c>
      <c r="F583" s="68">
        <v>136</v>
      </c>
      <c r="G583" s="69">
        <f t="shared" si="13"/>
        <v>0</v>
      </c>
      <c r="H583" s="70" t="s">
        <v>33</v>
      </c>
      <c r="I583" s="66"/>
      <c r="J583" s="71"/>
    </row>
    <row r="584" spans="1:10" x14ac:dyDescent="0.25">
      <c r="A584" s="2">
        <v>232</v>
      </c>
      <c r="B584" s="24" t="s">
        <v>9</v>
      </c>
      <c r="C584" t="s">
        <v>1280</v>
      </c>
      <c r="D584" s="6">
        <v>45964</v>
      </c>
      <c r="E584" s="45" t="s">
        <v>1282</v>
      </c>
      <c r="F584" s="13">
        <v>680</v>
      </c>
      <c r="G584" s="12">
        <f t="shared" si="13"/>
        <v>680</v>
      </c>
      <c r="H584" s="30">
        <v>45849.368750000001</v>
      </c>
      <c r="J584" s="60">
        <v>2590015487</v>
      </c>
    </row>
    <row r="585" spans="1:10" x14ac:dyDescent="0.25">
      <c r="A585" s="2">
        <v>565</v>
      </c>
      <c r="B585" s="24" t="s">
        <v>9</v>
      </c>
      <c r="C585" t="s">
        <v>1280</v>
      </c>
      <c r="D585" s="6">
        <v>45964</v>
      </c>
      <c r="E585" s="45" t="s">
        <v>1282</v>
      </c>
      <c r="F585" s="13">
        <v>680</v>
      </c>
      <c r="G585" s="12">
        <f t="shared" si="13"/>
        <v>680</v>
      </c>
      <c r="H585" s="31">
        <v>45968</v>
      </c>
      <c r="J585" s="60" t="s">
        <v>1674</v>
      </c>
    </row>
    <row r="586" spans="1:10" x14ac:dyDescent="0.25">
      <c r="A586" s="2">
        <v>403</v>
      </c>
      <c r="B586" s="24" t="s">
        <v>9</v>
      </c>
      <c r="C586" t="s">
        <v>1327</v>
      </c>
      <c r="D586" s="6">
        <v>45954</v>
      </c>
      <c r="E586" s="45" t="s">
        <v>1329</v>
      </c>
      <c r="F586" s="13">
        <v>240</v>
      </c>
      <c r="G586" s="12">
        <f t="shared" si="13"/>
        <v>240</v>
      </c>
      <c r="H586" s="31">
        <v>45911.37222222222</v>
      </c>
      <c r="J586" s="60">
        <v>2590015549</v>
      </c>
    </row>
    <row r="587" spans="1:10" x14ac:dyDescent="0.25">
      <c r="A587" s="2">
        <v>568</v>
      </c>
      <c r="B587" s="24" t="s">
        <v>9</v>
      </c>
      <c r="C587" t="s">
        <v>1327</v>
      </c>
      <c r="D587" s="6">
        <v>45954</v>
      </c>
      <c r="E587" s="45" t="s">
        <v>1329</v>
      </c>
      <c r="F587" s="13">
        <v>240</v>
      </c>
      <c r="G587" s="12">
        <f t="shared" si="13"/>
        <v>240</v>
      </c>
      <c r="H587" s="31">
        <v>45970</v>
      </c>
      <c r="J587" s="60" t="s">
        <v>1673</v>
      </c>
    </row>
    <row r="588" spans="1:10" x14ac:dyDescent="0.25">
      <c r="A588" s="2">
        <v>587</v>
      </c>
      <c r="B588" s="24" t="s">
        <v>9</v>
      </c>
      <c r="C588" t="s">
        <v>1265</v>
      </c>
      <c r="D588" s="6">
        <v>45966</v>
      </c>
      <c r="E588" s="45" t="s">
        <v>1267</v>
      </c>
      <c r="F588" s="13">
        <v>375</v>
      </c>
      <c r="G588" s="12">
        <f t="shared" si="13"/>
        <v>375</v>
      </c>
      <c r="H588" s="31">
        <v>45974</v>
      </c>
      <c r="J588" s="60">
        <v>2590015770</v>
      </c>
    </row>
    <row r="589" spans="1:10" x14ac:dyDescent="0.25">
      <c r="A589" s="2">
        <v>589</v>
      </c>
      <c r="B589" s="24" t="s">
        <v>9</v>
      </c>
      <c r="C589" t="s">
        <v>1265</v>
      </c>
      <c r="D589" s="6">
        <v>45966</v>
      </c>
      <c r="E589" s="45" t="s">
        <v>1267</v>
      </c>
      <c r="F589" s="13">
        <v>375</v>
      </c>
      <c r="G589" s="12">
        <f t="shared" si="13"/>
        <v>375</v>
      </c>
      <c r="H589" s="31">
        <v>45974</v>
      </c>
      <c r="J589" s="60" t="s">
        <v>1672</v>
      </c>
    </row>
    <row r="590" spans="1:10" x14ac:dyDescent="0.25">
      <c r="A590" s="2">
        <v>569</v>
      </c>
      <c r="B590" s="24" t="s">
        <v>9</v>
      </c>
      <c r="C590" t="s">
        <v>1250</v>
      </c>
      <c r="D590" s="6">
        <v>45967</v>
      </c>
      <c r="E590" s="45" t="s">
        <v>1608</v>
      </c>
      <c r="F590" s="13">
        <v>231.65</v>
      </c>
      <c r="G590" s="12">
        <f t="shared" si="13"/>
        <v>231.65</v>
      </c>
      <c r="H590" s="30">
        <v>45970</v>
      </c>
      <c r="J590" s="60">
        <v>2590015551</v>
      </c>
    </row>
    <row r="591" spans="1:10" x14ac:dyDescent="0.25">
      <c r="A591" s="2">
        <v>405</v>
      </c>
      <c r="B591" s="24" t="s">
        <v>9</v>
      </c>
      <c r="C591" t="s">
        <v>1250</v>
      </c>
      <c r="D591" s="6">
        <v>45967</v>
      </c>
      <c r="E591" s="45" t="s">
        <v>1399</v>
      </c>
      <c r="F591" s="13">
        <v>987.15</v>
      </c>
      <c r="G591" s="12">
        <f t="shared" si="13"/>
        <v>987.15</v>
      </c>
      <c r="H591" s="31">
        <v>45911.381249999999</v>
      </c>
      <c r="J591" s="60">
        <v>2590015551</v>
      </c>
    </row>
    <row r="592" spans="1:10" x14ac:dyDescent="0.25">
      <c r="A592" s="2">
        <v>611</v>
      </c>
      <c r="B592" s="24" t="s">
        <v>9</v>
      </c>
      <c r="C592" t="s">
        <v>1250</v>
      </c>
      <c r="D592" s="6">
        <v>45967</v>
      </c>
      <c r="E592" s="45" t="s">
        <v>1610</v>
      </c>
      <c r="F592" s="13">
        <v>480</v>
      </c>
      <c r="G592" s="12">
        <f t="shared" si="13"/>
        <v>480</v>
      </c>
      <c r="H592" s="31">
        <v>45980</v>
      </c>
      <c r="J592" s="60">
        <v>2590016110</v>
      </c>
    </row>
    <row r="593" spans="1:10" x14ac:dyDescent="0.25">
      <c r="A593" s="2">
        <v>570</v>
      </c>
      <c r="B593" s="24" t="s">
        <v>9</v>
      </c>
      <c r="C593" t="s">
        <v>1255</v>
      </c>
      <c r="D593" s="6">
        <v>45967</v>
      </c>
      <c r="E593" s="45" t="s">
        <v>1611</v>
      </c>
      <c r="F593" s="13">
        <v>273</v>
      </c>
      <c r="G593" s="12">
        <f t="shared" si="13"/>
        <v>273</v>
      </c>
      <c r="H593" s="31">
        <v>45970</v>
      </c>
      <c r="J593" s="60">
        <v>2590015550</v>
      </c>
    </row>
    <row r="594" spans="1:10" x14ac:dyDescent="0.25">
      <c r="A594" s="2">
        <v>404</v>
      </c>
      <c r="B594" s="24" t="s">
        <v>9</v>
      </c>
      <c r="C594" t="s">
        <v>1255</v>
      </c>
      <c r="D594" s="6">
        <v>45967</v>
      </c>
      <c r="E594" s="45" t="s">
        <v>1400</v>
      </c>
      <c r="F594" s="13">
        <v>760.4</v>
      </c>
      <c r="G594" s="12">
        <f t="shared" si="13"/>
        <v>760.4</v>
      </c>
      <c r="H594" s="30">
        <v>45911.375694444447</v>
      </c>
      <c r="J594" s="60">
        <v>2590015550</v>
      </c>
    </row>
    <row r="595" spans="1:10" x14ac:dyDescent="0.25">
      <c r="A595" s="2">
        <v>579</v>
      </c>
      <c r="B595" s="24" t="s">
        <v>9</v>
      </c>
      <c r="C595" t="s">
        <v>1255</v>
      </c>
      <c r="D595" s="6">
        <v>45967</v>
      </c>
      <c r="E595" s="45" t="s">
        <v>1612</v>
      </c>
      <c r="F595" s="13">
        <v>426.4</v>
      </c>
      <c r="G595" s="12">
        <f t="shared" si="13"/>
        <v>426.4</v>
      </c>
      <c r="H595" s="31">
        <v>45973</v>
      </c>
      <c r="J595" s="60">
        <v>2590015705</v>
      </c>
    </row>
    <row r="596" spans="1:10" x14ac:dyDescent="0.25">
      <c r="A596" s="2">
        <v>575</v>
      </c>
      <c r="B596" s="24" t="s">
        <v>9</v>
      </c>
      <c r="C596" t="s">
        <v>1313</v>
      </c>
      <c r="D596" s="6">
        <v>45957</v>
      </c>
      <c r="E596" s="45" t="s">
        <v>1629</v>
      </c>
      <c r="F596" s="13">
        <v>65</v>
      </c>
      <c r="G596" s="12">
        <f t="shared" si="13"/>
        <v>65</v>
      </c>
      <c r="H596" s="31">
        <v>45973</v>
      </c>
      <c r="J596" s="60">
        <v>2590015748</v>
      </c>
    </row>
    <row r="597" spans="1:10" x14ac:dyDescent="0.25">
      <c r="A597" s="2">
        <v>601</v>
      </c>
      <c r="B597" s="24" t="s">
        <v>9</v>
      </c>
      <c r="C597" t="s">
        <v>1313</v>
      </c>
      <c r="D597" s="6">
        <v>45957</v>
      </c>
      <c r="E597" s="45" t="s">
        <v>1626</v>
      </c>
      <c r="F597" s="13">
        <v>480.7</v>
      </c>
      <c r="G597" s="12">
        <f t="shared" si="13"/>
        <v>480.7</v>
      </c>
      <c r="H597" s="31">
        <v>45977</v>
      </c>
      <c r="J597" s="60">
        <v>2590015928</v>
      </c>
    </row>
    <row r="598" spans="1:10" x14ac:dyDescent="0.25">
      <c r="A598" s="2">
        <v>496</v>
      </c>
      <c r="B598" s="24" t="s">
        <v>9</v>
      </c>
      <c r="C598" t="s">
        <v>1313</v>
      </c>
      <c r="D598" s="6">
        <v>45957</v>
      </c>
      <c r="E598" s="45" t="s">
        <v>1626</v>
      </c>
      <c r="F598" s="13">
        <v>480.7</v>
      </c>
      <c r="G598" s="12">
        <f t="shared" ref="G598" si="14">IF(J598&gt;0,F598,0)</f>
        <v>480.7</v>
      </c>
      <c r="H598" s="50" t="s">
        <v>1763</v>
      </c>
      <c r="J598" s="60">
        <v>2590015928</v>
      </c>
    </row>
    <row r="599" spans="1:10" x14ac:dyDescent="0.25">
      <c r="A599" s="2">
        <v>496</v>
      </c>
      <c r="B599" s="24" t="s">
        <v>9</v>
      </c>
      <c r="C599" t="s">
        <v>1313</v>
      </c>
      <c r="D599" s="6">
        <v>45957</v>
      </c>
      <c r="E599" s="45" t="s">
        <v>1627</v>
      </c>
      <c r="F599" s="13">
        <v>430</v>
      </c>
      <c r="G599" s="12">
        <f t="shared" si="13"/>
        <v>430</v>
      </c>
      <c r="H599" s="51">
        <v>45849.371527777781</v>
      </c>
      <c r="J599" s="60">
        <v>2590015488</v>
      </c>
    </row>
    <row r="600" spans="1:10" x14ac:dyDescent="0.25">
      <c r="A600" s="2">
        <v>496</v>
      </c>
      <c r="B600" s="24" t="s">
        <v>9</v>
      </c>
      <c r="C600" t="s">
        <v>1313</v>
      </c>
      <c r="D600" s="6">
        <v>45957</v>
      </c>
      <c r="E600" s="45" t="s">
        <v>1629</v>
      </c>
      <c r="F600" s="13">
        <v>65</v>
      </c>
      <c r="G600" s="12">
        <f t="shared" si="13"/>
        <v>65</v>
      </c>
      <c r="H600" s="51">
        <v>46002.53402777778</v>
      </c>
      <c r="J600" s="60">
        <v>2590015748</v>
      </c>
    </row>
    <row r="601" spans="1:10" x14ac:dyDescent="0.25">
      <c r="A601" s="2">
        <v>585</v>
      </c>
      <c r="B601" t="s">
        <v>95</v>
      </c>
      <c r="C601" t="s">
        <v>1257</v>
      </c>
      <c r="D601" s="6">
        <v>45966</v>
      </c>
      <c r="E601" t="s">
        <v>1259</v>
      </c>
      <c r="F601" s="13">
        <v>2315</v>
      </c>
      <c r="G601" s="12">
        <f t="shared" si="13"/>
        <v>2315</v>
      </c>
      <c r="H601" s="30">
        <v>45974</v>
      </c>
      <c r="J601" s="60">
        <v>2590015794</v>
      </c>
    </row>
    <row r="602" spans="1:10" x14ac:dyDescent="0.25">
      <c r="A602" s="2">
        <v>588</v>
      </c>
      <c r="B602" s="24" t="s">
        <v>9</v>
      </c>
      <c r="C602" t="s">
        <v>1257</v>
      </c>
      <c r="D602" s="6">
        <v>45966</v>
      </c>
      <c r="E602" s="45" t="s">
        <v>1259</v>
      </c>
      <c r="F602" s="13">
        <v>2315</v>
      </c>
      <c r="G602" s="12">
        <f t="shared" si="13"/>
        <v>2315</v>
      </c>
      <c r="H602" s="31">
        <v>45974</v>
      </c>
      <c r="J602" s="60" t="s">
        <v>1671</v>
      </c>
    </row>
    <row r="603" spans="1:10" x14ac:dyDescent="0.25">
      <c r="A603" s="2">
        <v>605</v>
      </c>
      <c r="B603" s="24" t="s">
        <v>9</v>
      </c>
      <c r="C603" t="s">
        <v>1234</v>
      </c>
      <c r="D603" s="6">
        <v>45971</v>
      </c>
      <c r="E603" s="45" t="s">
        <v>1603</v>
      </c>
      <c r="F603" s="13">
        <v>580</v>
      </c>
      <c r="G603" s="12">
        <f t="shared" si="13"/>
        <v>580</v>
      </c>
      <c r="H603" s="31">
        <v>45979</v>
      </c>
      <c r="J603" s="60">
        <v>2590016078</v>
      </c>
    </row>
    <row r="604" spans="1:10" x14ac:dyDescent="0.25">
      <c r="A604" s="2">
        <v>69</v>
      </c>
      <c r="B604" s="24" t="s">
        <v>9</v>
      </c>
      <c r="C604" t="s">
        <v>1234</v>
      </c>
      <c r="D604" s="6">
        <v>45971</v>
      </c>
      <c r="E604" s="55" t="s">
        <v>1630</v>
      </c>
      <c r="F604" s="13">
        <v>213.2</v>
      </c>
      <c r="G604" s="12">
        <f t="shared" si="13"/>
        <v>213.2</v>
      </c>
      <c r="H604" s="51">
        <v>45668.536111111112</v>
      </c>
      <c r="J604" s="60">
        <v>2590015155</v>
      </c>
    </row>
    <row r="605" spans="1:10" x14ac:dyDescent="0.25">
      <c r="A605" s="2">
        <v>633</v>
      </c>
      <c r="B605" s="24" t="s">
        <v>9</v>
      </c>
      <c r="C605" t="s">
        <v>1234</v>
      </c>
      <c r="D605" s="6">
        <v>45971</v>
      </c>
      <c r="E605" s="45" t="s">
        <v>1604</v>
      </c>
      <c r="F605" s="13">
        <v>426.4</v>
      </c>
      <c r="G605" s="12">
        <f t="shared" si="13"/>
        <v>426.4</v>
      </c>
      <c r="H605" s="31">
        <v>45986</v>
      </c>
      <c r="J605" s="60">
        <v>2590016466</v>
      </c>
    </row>
    <row r="606" spans="1:10" x14ac:dyDescent="0.25">
      <c r="A606" s="2">
        <v>71</v>
      </c>
      <c r="B606" s="24" t="s">
        <v>9</v>
      </c>
      <c r="C606" t="s">
        <v>1242</v>
      </c>
      <c r="D606" s="6">
        <v>45968</v>
      </c>
      <c r="E606" s="55" t="s">
        <v>1244</v>
      </c>
      <c r="F606" s="13">
        <v>6213</v>
      </c>
      <c r="G606" s="12">
        <f t="shared" si="13"/>
        <v>6213</v>
      </c>
      <c r="H606" s="42">
        <v>45850.427083333336</v>
      </c>
      <c r="J606" s="60">
        <v>2590016947</v>
      </c>
    </row>
    <row r="607" spans="1:10" x14ac:dyDescent="0.25">
      <c r="A607" s="2">
        <v>652</v>
      </c>
      <c r="B607" s="24" t="s">
        <v>9</v>
      </c>
      <c r="C607" t="s">
        <v>1242</v>
      </c>
      <c r="D607" s="6">
        <v>45968</v>
      </c>
      <c r="E607" s="45" t="s">
        <v>1244</v>
      </c>
      <c r="F607" s="13">
        <v>6213</v>
      </c>
      <c r="G607" s="12">
        <f t="shared" si="13"/>
        <v>6213</v>
      </c>
      <c r="H607" s="31">
        <v>45998</v>
      </c>
      <c r="J607" s="60" t="s">
        <v>1670</v>
      </c>
    </row>
    <row r="608" spans="1:10" x14ac:dyDescent="0.25">
      <c r="A608" s="2">
        <v>597</v>
      </c>
      <c r="B608" s="24" t="s">
        <v>9</v>
      </c>
      <c r="C608" t="s">
        <v>1248</v>
      </c>
      <c r="D608" s="6">
        <v>45968</v>
      </c>
      <c r="E608" s="45" t="s">
        <v>1607</v>
      </c>
      <c r="F608" s="13">
        <v>420</v>
      </c>
      <c r="G608" s="12">
        <f t="shared" si="13"/>
        <v>420</v>
      </c>
      <c r="H608" s="31">
        <v>45974</v>
      </c>
      <c r="J608" s="60">
        <v>2590015777</v>
      </c>
    </row>
    <row r="609" spans="1:10" x14ac:dyDescent="0.25">
      <c r="A609" s="2">
        <v>603</v>
      </c>
      <c r="B609" s="24" t="s">
        <v>9</v>
      </c>
      <c r="C609" t="s">
        <v>1248</v>
      </c>
      <c r="D609" s="6">
        <v>45968</v>
      </c>
      <c r="E609" s="45" t="s">
        <v>1606</v>
      </c>
      <c r="F609" s="13">
        <v>88</v>
      </c>
      <c r="G609" s="12">
        <f t="shared" si="13"/>
        <v>88</v>
      </c>
      <c r="H609" s="31">
        <v>45977</v>
      </c>
      <c r="J609" s="60">
        <v>2590015933</v>
      </c>
    </row>
    <row r="610" spans="1:10" x14ac:dyDescent="0.25">
      <c r="A610" s="2">
        <v>594</v>
      </c>
      <c r="B610" s="24" t="s">
        <v>9</v>
      </c>
      <c r="C610" t="s">
        <v>1248</v>
      </c>
      <c r="D610" s="6">
        <v>45968</v>
      </c>
      <c r="E610" s="45" t="s">
        <v>1398</v>
      </c>
      <c r="F610" s="13">
        <v>508</v>
      </c>
      <c r="G610" s="12">
        <f t="shared" si="13"/>
        <v>508</v>
      </c>
      <c r="H610" s="31">
        <v>45974</v>
      </c>
      <c r="J610" s="60">
        <v>2590015777</v>
      </c>
    </row>
    <row r="611" spans="1:10" x14ac:dyDescent="0.25">
      <c r="A611" s="2">
        <v>578</v>
      </c>
      <c r="B611" s="24" t="s">
        <v>9</v>
      </c>
      <c r="C611" t="s">
        <v>1277</v>
      </c>
      <c r="D611" s="6">
        <v>45965</v>
      </c>
      <c r="E611" s="45" t="s">
        <v>1614</v>
      </c>
      <c r="F611" s="13">
        <v>360</v>
      </c>
      <c r="G611" s="12">
        <f t="shared" si="13"/>
        <v>360</v>
      </c>
      <c r="H611" s="31">
        <v>45973</v>
      </c>
      <c r="J611" s="60">
        <v>2590015704</v>
      </c>
    </row>
    <row r="612" spans="1:10" x14ac:dyDescent="0.25">
      <c r="A612" s="2">
        <v>669</v>
      </c>
      <c r="B612" s="24" t="s">
        <v>9</v>
      </c>
      <c r="C612" t="s">
        <v>1277</v>
      </c>
      <c r="D612" s="6">
        <v>45965</v>
      </c>
      <c r="E612" s="45" t="s">
        <v>1401</v>
      </c>
      <c r="F612" s="13">
        <v>497.5</v>
      </c>
      <c r="G612" s="12">
        <f t="shared" si="13"/>
        <v>497.5</v>
      </c>
      <c r="H612" s="31">
        <v>46002.304166666698</v>
      </c>
      <c r="J612" s="60">
        <v>2590015704</v>
      </c>
    </row>
    <row r="613" spans="1:10" x14ac:dyDescent="0.25">
      <c r="A613" s="2">
        <v>644</v>
      </c>
      <c r="B613" s="24" t="s">
        <v>9</v>
      </c>
      <c r="C613" t="s">
        <v>1277</v>
      </c>
      <c r="D613" s="6">
        <v>45965</v>
      </c>
      <c r="E613" s="45" t="s">
        <v>1615</v>
      </c>
      <c r="F613" s="13">
        <v>137.5</v>
      </c>
      <c r="G613" s="12">
        <f t="shared" si="13"/>
        <v>137.5</v>
      </c>
      <c r="H613" s="31">
        <v>45989</v>
      </c>
      <c r="J613" s="60">
        <v>2590016663</v>
      </c>
    </row>
    <row r="614" spans="1:10" x14ac:dyDescent="0.25">
      <c r="A614" s="2">
        <v>70</v>
      </c>
      <c r="B614" s="24" t="s">
        <v>9</v>
      </c>
      <c r="C614" t="s">
        <v>1239</v>
      </c>
      <c r="D614" s="6">
        <v>45970</v>
      </c>
      <c r="E614" s="45" t="s">
        <v>1241</v>
      </c>
      <c r="F614" s="13">
        <v>96.5</v>
      </c>
      <c r="G614" s="12">
        <f t="shared" si="13"/>
        <v>0</v>
      </c>
      <c r="H614" s="50" t="s">
        <v>33</v>
      </c>
    </row>
    <row r="615" spans="1:10" x14ac:dyDescent="0.25">
      <c r="A615" s="2">
        <v>566</v>
      </c>
      <c r="B615" s="24" t="s">
        <v>9</v>
      </c>
      <c r="C615" t="s">
        <v>1239</v>
      </c>
      <c r="D615" s="6">
        <v>45970</v>
      </c>
      <c r="E615" s="45" t="s">
        <v>1241</v>
      </c>
      <c r="F615" s="13">
        <v>96.5</v>
      </c>
      <c r="G615" s="12">
        <f t="shared" si="13"/>
        <v>0</v>
      </c>
      <c r="H615" s="50" t="s">
        <v>33</v>
      </c>
    </row>
    <row r="616" spans="1:10" x14ac:dyDescent="0.25">
      <c r="A616" s="2">
        <v>625</v>
      </c>
      <c r="B616" s="24" t="s">
        <v>9</v>
      </c>
      <c r="C616" t="s">
        <v>1234</v>
      </c>
      <c r="D616" s="6">
        <v>45971</v>
      </c>
      <c r="E616" s="45" t="s">
        <v>1605</v>
      </c>
      <c r="F616" s="13">
        <v>280</v>
      </c>
      <c r="G616" s="12">
        <f t="shared" si="13"/>
        <v>280</v>
      </c>
      <c r="H616" s="31">
        <v>45982</v>
      </c>
      <c r="J616" s="60">
        <v>2590016280</v>
      </c>
    </row>
    <row r="617" spans="1:10" x14ac:dyDescent="0.25">
      <c r="A617" s="2">
        <v>479</v>
      </c>
      <c r="B617" s="24" t="s">
        <v>9</v>
      </c>
      <c r="C617" t="s">
        <v>1268</v>
      </c>
      <c r="D617" s="6">
        <v>45966</v>
      </c>
      <c r="E617" s="55" t="s">
        <v>1270</v>
      </c>
      <c r="F617" s="13">
        <v>520</v>
      </c>
      <c r="G617" s="12">
        <f t="shared" si="13"/>
        <v>520</v>
      </c>
      <c r="H617" s="50" t="s">
        <v>1764</v>
      </c>
      <c r="J617" s="60">
        <v>2590016279</v>
      </c>
    </row>
    <row r="618" spans="1:10" x14ac:dyDescent="0.25">
      <c r="A618" s="2">
        <v>624</v>
      </c>
      <c r="B618" s="24" t="s">
        <v>9</v>
      </c>
      <c r="C618" t="s">
        <v>1268</v>
      </c>
      <c r="D618" s="6">
        <v>45966</v>
      </c>
      <c r="E618" s="45" t="s">
        <v>1270</v>
      </c>
      <c r="F618" s="13">
        <v>520</v>
      </c>
      <c r="G618" s="12">
        <f t="shared" si="13"/>
        <v>520</v>
      </c>
      <c r="H618" s="30">
        <v>45982</v>
      </c>
      <c r="J618" s="60" t="s">
        <v>1669</v>
      </c>
    </row>
    <row r="619" spans="1:10" x14ac:dyDescent="0.25">
      <c r="A619" s="2">
        <v>593</v>
      </c>
      <c r="B619" s="24" t="s">
        <v>9</v>
      </c>
      <c r="C619" t="s">
        <v>1245</v>
      </c>
      <c r="D619" s="6">
        <v>45968</v>
      </c>
      <c r="E619" s="45" t="s">
        <v>1247</v>
      </c>
      <c r="F619" s="13">
        <v>375</v>
      </c>
      <c r="G619" s="12">
        <f t="shared" si="13"/>
        <v>375</v>
      </c>
      <c r="H619" s="31">
        <v>45974</v>
      </c>
      <c r="J619" s="60">
        <v>2590015774</v>
      </c>
    </row>
    <row r="620" spans="1:10" x14ac:dyDescent="0.25">
      <c r="A620" s="2">
        <v>596</v>
      </c>
      <c r="B620" s="24" t="s">
        <v>9</v>
      </c>
      <c r="C620" t="s">
        <v>1245</v>
      </c>
      <c r="D620" s="6">
        <v>45968</v>
      </c>
      <c r="E620" s="45" t="s">
        <v>1247</v>
      </c>
      <c r="F620" s="13">
        <v>375</v>
      </c>
      <c r="G620" s="12">
        <f t="shared" si="13"/>
        <v>375</v>
      </c>
      <c r="H620" s="31">
        <v>45974</v>
      </c>
      <c r="J620" s="60" t="s">
        <v>1668</v>
      </c>
    </row>
    <row r="621" spans="1:10" x14ac:dyDescent="0.25">
      <c r="A621" s="2">
        <v>476</v>
      </c>
      <c r="B621" s="24" t="s">
        <v>9</v>
      </c>
      <c r="C621" t="s">
        <v>1260</v>
      </c>
      <c r="D621" s="6">
        <v>45966</v>
      </c>
      <c r="E621" s="55" t="s">
        <v>1262</v>
      </c>
      <c r="F621" s="13">
        <v>240</v>
      </c>
      <c r="G621" s="12">
        <f t="shared" si="13"/>
        <v>240</v>
      </c>
      <c r="H621" s="50" t="s">
        <v>1765</v>
      </c>
      <c r="J621" s="60">
        <v>2590015929</v>
      </c>
    </row>
    <row r="622" spans="1:10" x14ac:dyDescent="0.25">
      <c r="A622" s="2">
        <v>602</v>
      </c>
      <c r="B622" s="24" t="s">
        <v>9</v>
      </c>
      <c r="C622" t="s">
        <v>1260</v>
      </c>
      <c r="D622" s="6">
        <v>45966</v>
      </c>
      <c r="E622" s="45" t="s">
        <v>1262</v>
      </c>
      <c r="F622" s="13">
        <v>240</v>
      </c>
      <c r="G622" s="12">
        <f t="shared" si="13"/>
        <v>240</v>
      </c>
      <c r="H622" s="31">
        <v>45977</v>
      </c>
      <c r="J622" s="60" t="s">
        <v>1667</v>
      </c>
    </row>
    <row r="623" spans="1:10" x14ac:dyDescent="0.25">
      <c r="A623" s="2">
        <v>592</v>
      </c>
      <c r="B623" s="24" t="s">
        <v>9</v>
      </c>
      <c r="C623" t="s">
        <v>1255</v>
      </c>
      <c r="D623" s="6">
        <v>45967</v>
      </c>
      <c r="E623" s="45" t="s">
        <v>1613</v>
      </c>
      <c r="F623" s="13">
        <v>70</v>
      </c>
      <c r="G623" s="12">
        <f t="shared" si="13"/>
        <v>70</v>
      </c>
      <c r="H623" s="31">
        <v>45974</v>
      </c>
      <c r="J623" s="60">
        <v>2590015772</v>
      </c>
    </row>
    <row r="624" spans="1:10" x14ac:dyDescent="0.25">
      <c r="A624" s="2">
        <v>481</v>
      </c>
      <c r="B624" s="24" t="s">
        <v>9</v>
      </c>
      <c r="C624" t="s">
        <v>1274</v>
      </c>
      <c r="D624" s="6">
        <v>45965</v>
      </c>
      <c r="E624" s="55" t="s">
        <v>1276</v>
      </c>
      <c r="F624" s="13">
        <v>42</v>
      </c>
      <c r="G624" s="12">
        <f t="shared" si="13"/>
        <v>42</v>
      </c>
      <c r="H624" s="4" t="s">
        <v>1766</v>
      </c>
      <c r="J624" s="60">
        <v>2590015932</v>
      </c>
    </row>
    <row r="625" spans="1:10" x14ac:dyDescent="0.25">
      <c r="A625" s="2">
        <v>637</v>
      </c>
      <c r="B625" s="24" t="s">
        <v>9</v>
      </c>
      <c r="C625" t="s">
        <v>1274</v>
      </c>
      <c r="D625" s="6">
        <v>45965</v>
      </c>
      <c r="E625" s="45" t="s">
        <v>1276</v>
      </c>
      <c r="F625" s="13">
        <v>42</v>
      </c>
      <c r="G625" s="12">
        <f t="shared" si="13"/>
        <v>42</v>
      </c>
      <c r="H625" s="31">
        <v>45987</v>
      </c>
      <c r="J625" s="60" t="s">
        <v>1666</v>
      </c>
    </row>
    <row r="626" spans="1:10" x14ac:dyDescent="0.25">
      <c r="A626" s="2">
        <v>68</v>
      </c>
      <c r="B626" s="24" t="s">
        <v>9</v>
      </c>
      <c r="C626" t="s">
        <v>1231</v>
      </c>
      <c r="D626" s="6">
        <v>45972</v>
      </c>
      <c r="E626" s="55" t="s">
        <v>1233</v>
      </c>
      <c r="F626" s="13">
        <v>3292.5</v>
      </c>
      <c r="G626" s="12">
        <f t="shared" si="13"/>
        <v>3292.5</v>
      </c>
      <c r="H626" s="4" t="s">
        <v>1767</v>
      </c>
      <c r="J626" s="60">
        <v>2590015927</v>
      </c>
    </row>
    <row r="627" spans="1:10" x14ac:dyDescent="0.25">
      <c r="A627" s="2">
        <v>604</v>
      </c>
      <c r="B627" s="24" t="s">
        <v>9</v>
      </c>
      <c r="C627" t="s">
        <v>1231</v>
      </c>
      <c r="D627" s="6">
        <v>45972</v>
      </c>
      <c r="E627" s="45" t="s">
        <v>1233</v>
      </c>
      <c r="F627" s="13">
        <v>3292.5</v>
      </c>
      <c r="G627" s="12">
        <f t="shared" si="13"/>
        <v>3292.5</v>
      </c>
      <c r="H627" s="30">
        <v>45977</v>
      </c>
      <c r="J627" s="60" t="s">
        <v>1665</v>
      </c>
    </row>
    <row r="628" spans="1:10" x14ac:dyDescent="0.25">
      <c r="A628" s="2">
        <v>64</v>
      </c>
      <c r="B628" s="24" t="s">
        <v>9</v>
      </c>
      <c r="C628" t="s">
        <v>1219</v>
      </c>
      <c r="D628" s="6">
        <v>45972</v>
      </c>
      <c r="E628" s="55" t="s">
        <v>1221</v>
      </c>
      <c r="F628" s="13">
        <v>1320</v>
      </c>
      <c r="G628" s="12">
        <f t="shared" si="13"/>
        <v>1320</v>
      </c>
      <c r="H628" s="50" t="s">
        <v>1768</v>
      </c>
      <c r="J628" s="60">
        <v>2590016446</v>
      </c>
    </row>
    <row r="629" spans="1:10" x14ac:dyDescent="0.25">
      <c r="A629" s="2">
        <v>634</v>
      </c>
      <c r="B629" s="24" t="s">
        <v>9</v>
      </c>
      <c r="C629" t="s">
        <v>1219</v>
      </c>
      <c r="D629" s="6">
        <v>45972</v>
      </c>
      <c r="E629" s="45" t="s">
        <v>1221</v>
      </c>
      <c r="F629" s="13">
        <v>1320</v>
      </c>
      <c r="G629" s="12">
        <f t="shared" si="13"/>
        <v>1320</v>
      </c>
      <c r="H629" s="31">
        <v>45986</v>
      </c>
      <c r="J629" s="60" t="s">
        <v>1664</v>
      </c>
    </row>
    <row r="630" spans="1:10" x14ac:dyDescent="0.25">
      <c r="A630" s="2">
        <v>65</v>
      </c>
      <c r="B630" s="24" t="s">
        <v>9</v>
      </c>
      <c r="C630" t="s">
        <v>1222</v>
      </c>
      <c r="D630" s="6">
        <v>45972</v>
      </c>
      <c r="E630" s="55" t="s">
        <v>1224</v>
      </c>
      <c r="F630" s="13">
        <v>42</v>
      </c>
      <c r="G630" s="12">
        <f t="shared" si="13"/>
        <v>42</v>
      </c>
      <c r="H630" s="51">
        <v>46174.306944444441</v>
      </c>
      <c r="J630" s="60">
        <v>2690000154</v>
      </c>
    </row>
    <row r="631" spans="1:10" x14ac:dyDescent="0.25">
      <c r="A631" s="2">
        <v>705</v>
      </c>
      <c r="B631" s="24" t="s">
        <v>9</v>
      </c>
      <c r="C631" t="s">
        <v>1222</v>
      </c>
      <c r="D631" s="6">
        <v>45972</v>
      </c>
      <c r="E631" s="45" t="s">
        <v>1224</v>
      </c>
      <c r="F631" s="13">
        <v>42</v>
      </c>
      <c r="G631" s="12">
        <f t="shared" si="13"/>
        <v>42</v>
      </c>
      <c r="H631" s="31">
        <v>46028</v>
      </c>
      <c r="J631" s="60" t="s">
        <v>1663</v>
      </c>
    </row>
    <row r="632" spans="1:10" x14ac:dyDescent="0.25">
      <c r="A632" s="2">
        <v>659</v>
      </c>
      <c r="B632" s="24" t="s">
        <v>9</v>
      </c>
      <c r="C632" t="s">
        <v>1339</v>
      </c>
      <c r="D632" s="6">
        <v>45954</v>
      </c>
      <c r="E632" s="45" t="s">
        <v>1632</v>
      </c>
      <c r="F632" s="13">
        <v>2420</v>
      </c>
      <c r="G632" s="12">
        <f t="shared" si="13"/>
        <v>0</v>
      </c>
      <c r="H632" s="50" t="s">
        <v>33</v>
      </c>
    </row>
    <row r="633" spans="1:10" x14ac:dyDescent="0.25">
      <c r="A633" s="2">
        <v>658</v>
      </c>
      <c r="B633" s="24" t="s">
        <v>9</v>
      </c>
      <c r="C633" t="s">
        <v>1339</v>
      </c>
      <c r="D633" s="6">
        <v>45954</v>
      </c>
      <c r="E633" s="55" t="s">
        <v>1631</v>
      </c>
      <c r="F633" s="13">
        <v>250</v>
      </c>
      <c r="G633" s="12">
        <f t="shared" si="13"/>
        <v>0</v>
      </c>
      <c r="H633" s="50" t="s">
        <v>33</v>
      </c>
    </row>
    <row r="634" spans="1:10" x14ac:dyDescent="0.25">
      <c r="A634" s="2">
        <v>505</v>
      </c>
      <c r="B634" s="24" t="s">
        <v>9</v>
      </c>
      <c r="C634" t="s">
        <v>1339</v>
      </c>
      <c r="D634" s="6">
        <v>45954</v>
      </c>
      <c r="E634" s="45" t="s">
        <v>1633</v>
      </c>
      <c r="F634" s="13">
        <v>2790</v>
      </c>
      <c r="G634" s="12">
        <f t="shared" ref="G634:G635" si="15">IF(J634&gt;0,F634,0)</f>
        <v>0</v>
      </c>
      <c r="H634" s="50" t="s">
        <v>33</v>
      </c>
      <c r="I634" s="9"/>
    </row>
    <row r="635" spans="1:10" x14ac:dyDescent="0.25">
      <c r="A635" s="2">
        <v>505</v>
      </c>
      <c r="B635" s="24" t="s">
        <v>9</v>
      </c>
      <c r="C635" t="s">
        <v>1339</v>
      </c>
      <c r="D635" s="6">
        <v>45954</v>
      </c>
      <c r="E635" s="45" t="s">
        <v>1632</v>
      </c>
      <c r="F635" s="13">
        <v>2790</v>
      </c>
      <c r="G635" s="12">
        <f t="shared" si="15"/>
        <v>0</v>
      </c>
      <c r="H635" s="50" t="s">
        <v>33</v>
      </c>
      <c r="I635" s="9"/>
    </row>
    <row r="636" spans="1:10" x14ac:dyDescent="0.25">
      <c r="A636" s="2">
        <v>701</v>
      </c>
      <c r="B636" s="24" t="s">
        <v>9</v>
      </c>
      <c r="C636" t="s">
        <v>1211</v>
      </c>
      <c r="D636" s="6">
        <v>45973</v>
      </c>
      <c r="E636" s="45" t="s">
        <v>1597</v>
      </c>
      <c r="F636" s="13">
        <v>480</v>
      </c>
      <c r="G636" s="12">
        <f t="shared" si="13"/>
        <v>480</v>
      </c>
      <c r="H636" s="31">
        <v>46026</v>
      </c>
      <c r="J636" s="60">
        <v>2690000072</v>
      </c>
    </row>
    <row r="637" spans="1:10" x14ac:dyDescent="0.25">
      <c r="A637" s="2">
        <v>57</v>
      </c>
      <c r="B637" s="24" t="s">
        <v>9</v>
      </c>
      <c r="C637" t="s">
        <v>1206</v>
      </c>
      <c r="D637" s="6">
        <v>45974</v>
      </c>
      <c r="E637" s="45" t="s">
        <v>1552</v>
      </c>
      <c r="F637" s="13">
        <v>2316.1999999999998</v>
      </c>
      <c r="G637" s="12">
        <f t="shared" si="13"/>
        <v>2316.1999999999998</v>
      </c>
      <c r="H637" s="50" t="s">
        <v>1750</v>
      </c>
      <c r="J637" s="60">
        <v>2590016530</v>
      </c>
    </row>
    <row r="638" spans="1:10" x14ac:dyDescent="0.25">
      <c r="A638" s="2">
        <v>638</v>
      </c>
      <c r="B638" s="24" t="s">
        <v>9</v>
      </c>
      <c r="C638" t="s">
        <v>1206</v>
      </c>
      <c r="D638" s="6">
        <v>45974</v>
      </c>
      <c r="E638" s="45" t="s">
        <v>1552</v>
      </c>
      <c r="F638" s="13">
        <v>2316.1999999999998</v>
      </c>
      <c r="G638" s="12">
        <f t="shared" si="13"/>
        <v>2316.1999999999998</v>
      </c>
      <c r="H638" s="31">
        <v>45987</v>
      </c>
      <c r="J638" s="60" t="s">
        <v>1662</v>
      </c>
    </row>
    <row r="639" spans="1:10" x14ac:dyDescent="0.25">
      <c r="A639" s="2">
        <v>59</v>
      </c>
      <c r="B639" s="24" t="s">
        <v>9</v>
      </c>
      <c r="C639" t="s">
        <v>1211</v>
      </c>
      <c r="D639" s="6">
        <v>45973</v>
      </c>
      <c r="E639" s="55" t="s">
        <v>1213</v>
      </c>
      <c r="F639" s="13">
        <v>750</v>
      </c>
      <c r="G639" s="12">
        <f t="shared" si="13"/>
        <v>750</v>
      </c>
      <c r="H639" s="50" t="s">
        <v>1769</v>
      </c>
      <c r="J639" s="60">
        <v>2590016191</v>
      </c>
    </row>
    <row r="640" spans="1:10" x14ac:dyDescent="0.25">
      <c r="A640" s="2">
        <v>615</v>
      </c>
      <c r="B640" s="24" t="s">
        <v>9</v>
      </c>
      <c r="C640" t="s">
        <v>1211</v>
      </c>
      <c r="D640" s="6">
        <v>45973</v>
      </c>
      <c r="E640" s="45" t="s">
        <v>1213</v>
      </c>
      <c r="F640" s="13">
        <v>750</v>
      </c>
      <c r="G640" s="12">
        <f t="shared" si="13"/>
        <v>750</v>
      </c>
      <c r="H640" s="31">
        <v>45981</v>
      </c>
      <c r="J640" s="60">
        <v>2590016191</v>
      </c>
    </row>
    <row r="641" spans="1:10" x14ac:dyDescent="0.25">
      <c r="A641" s="2">
        <v>55</v>
      </c>
      <c r="B641" s="24" t="s">
        <v>9</v>
      </c>
      <c r="C641" s="46" t="s">
        <v>1200</v>
      </c>
      <c r="D641" s="6">
        <v>45975</v>
      </c>
      <c r="E641" s="48" t="s">
        <v>1551</v>
      </c>
      <c r="F641" s="13">
        <v>1968</v>
      </c>
      <c r="G641" s="12">
        <f t="shared" si="13"/>
        <v>1968</v>
      </c>
      <c r="H641" s="50" t="s">
        <v>1749</v>
      </c>
      <c r="I641" s="25" t="s">
        <v>12</v>
      </c>
      <c r="J641" s="58">
        <v>2590016113</v>
      </c>
    </row>
    <row r="642" spans="1:10" x14ac:dyDescent="0.25">
      <c r="A642" s="2">
        <v>613</v>
      </c>
      <c r="B642" s="24" t="s">
        <v>9</v>
      </c>
      <c r="C642" t="s">
        <v>1200</v>
      </c>
      <c r="D642" s="6">
        <v>45975</v>
      </c>
      <c r="E642" s="45" t="s">
        <v>1551</v>
      </c>
      <c r="F642" s="13">
        <v>1968</v>
      </c>
      <c r="G642" s="12">
        <f t="shared" si="13"/>
        <v>1968</v>
      </c>
      <c r="H642" s="31">
        <v>45980</v>
      </c>
      <c r="J642" s="60" t="s">
        <v>1661</v>
      </c>
    </row>
    <row r="643" spans="1:10" x14ac:dyDescent="0.25">
      <c r="A643" s="2">
        <v>490</v>
      </c>
      <c r="B643" s="24" t="s">
        <v>9</v>
      </c>
      <c r="C643" t="s">
        <v>1298</v>
      </c>
      <c r="D643" s="6">
        <v>45959</v>
      </c>
      <c r="E643" s="45" t="s">
        <v>1554</v>
      </c>
      <c r="F643" s="13">
        <v>180</v>
      </c>
      <c r="G643" s="12">
        <f t="shared" si="13"/>
        <v>180</v>
      </c>
      <c r="H643" s="51">
        <v>46003.34375</v>
      </c>
      <c r="J643" s="60">
        <v>2590017409</v>
      </c>
    </row>
    <row r="644" spans="1:10" x14ac:dyDescent="0.25">
      <c r="A644" s="2">
        <v>672</v>
      </c>
      <c r="B644" s="24" t="s">
        <v>9</v>
      </c>
      <c r="C644" t="s">
        <v>1298</v>
      </c>
      <c r="D644" s="6">
        <v>45959</v>
      </c>
      <c r="E644" s="45" t="s">
        <v>1554</v>
      </c>
      <c r="F644" s="13">
        <v>180</v>
      </c>
      <c r="G644" s="12">
        <f t="shared" si="13"/>
        <v>180</v>
      </c>
      <c r="H644" s="31">
        <v>46003</v>
      </c>
      <c r="J644" s="60" t="s">
        <v>1660</v>
      </c>
    </row>
    <row r="645" spans="1:10" x14ac:dyDescent="0.25">
      <c r="A645" s="2">
        <v>621</v>
      </c>
      <c r="B645" s="24" t="s">
        <v>9</v>
      </c>
      <c r="C645" t="s">
        <v>1545</v>
      </c>
      <c r="D645" s="6">
        <v>45978</v>
      </c>
      <c r="E645" s="45" t="s">
        <v>1593</v>
      </c>
      <c r="F645" s="13">
        <v>300</v>
      </c>
      <c r="G645" s="12">
        <f t="shared" si="13"/>
        <v>0</v>
      </c>
      <c r="H645" s="50" t="s">
        <v>33</v>
      </c>
    </row>
    <row r="646" spans="1:10" x14ac:dyDescent="0.25">
      <c r="A646" s="2">
        <v>685</v>
      </c>
      <c r="B646" s="24" t="s">
        <v>9</v>
      </c>
      <c r="C646" t="s">
        <v>1545</v>
      </c>
      <c r="D646" s="6">
        <v>45978</v>
      </c>
      <c r="E646" s="45" t="s">
        <v>1596</v>
      </c>
      <c r="F646" s="13">
        <v>130</v>
      </c>
      <c r="G646" s="12">
        <f t="shared" si="13"/>
        <v>130</v>
      </c>
      <c r="H646" s="31">
        <v>46012</v>
      </c>
      <c r="J646" s="60">
        <v>2590017977</v>
      </c>
    </row>
    <row r="647" spans="1:10" x14ac:dyDescent="0.25">
      <c r="A647" s="2">
        <v>555</v>
      </c>
      <c r="B647" s="24" t="s">
        <v>9</v>
      </c>
      <c r="C647" t="s">
        <v>1548</v>
      </c>
      <c r="D647" s="6">
        <v>45977</v>
      </c>
      <c r="E647" s="45" t="s">
        <v>1550</v>
      </c>
      <c r="F647" s="13">
        <v>44875</v>
      </c>
      <c r="G647" s="12">
        <f t="shared" si="13"/>
        <v>0</v>
      </c>
      <c r="H647" s="50" t="s">
        <v>33</v>
      </c>
    </row>
    <row r="648" spans="1:10" x14ac:dyDescent="0.25">
      <c r="A648" s="2">
        <v>620</v>
      </c>
      <c r="B648" s="24" t="s">
        <v>9</v>
      </c>
      <c r="C648" t="s">
        <v>1540</v>
      </c>
      <c r="D648" s="6">
        <v>45978</v>
      </c>
      <c r="E648" s="45" t="s">
        <v>1591</v>
      </c>
      <c r="F648" s="13">
        <v>220</v>
      </c>
      <c r="G648" s="12">
        <f t="shared" ref="G648:G711" si="16">IF(J648&gt;0,F648,0)</f>
        <v>0</v>
      </c>
      <c r="H648" s="50" t="s">
        <v>33</v>
      </c>
    </row>
    <row r="649" spans="1:10" x14ac:dyDescent="0.25">
      <c r="A649" s="2">
        <v>626</v>
      </c>
      <c r="B649" s="24" t="s">
        <v>9</v>
      </c>
      <c r="C649" t="s">
        <v>1539</v>
      </c>
      <c r="D649" s="6">
        <v>45978</v>
      </c>
      <c r="E649" s="45" t="s">
        <v>1589</v>
      </c>
      <c r="F649" s="13">
        <v>1222</v>
      </c>
      <c r="G649" s="12">
        <f t="shared" si="16"/>
        <v>1222</v>
      </c>
      <c r="H649" s="31">
        <v>45982</v>
      </c>
      <c r="J649" s="60">
        <v>2590016273</v>
      </c>
    </row>
    <row r="650" spans="1:10" x14ac:dyDescent="0.25">
      <c r="A650" s="2">
        <v>622</v>
      </c>
      <c r="B650" s="24" t="s">
        <v>9</v>
      </c>
      <c r="C650" t="s">
        <v>1533</v>
      </c>
      <c r="D650" s="6">
        <v>45979</v>
      </c>
      <c r="E650" s="45" t="s">
        <v>1535</v>
      </c>
      <c r="F650" s="13">
        <v>84</v>
      </c>
      <c r="G650" s="12">
        <f t="shared" si="16"/>
        <v>84</v>
      </c>
      <c r="H650" s="31">
        <v>45981</v>
      </c>
      <c r="J650" s="60" t="s">
        <v>1659</v>
      </c>
    </row>
    <row r="651" spans="1:10" x14ac:dyDescent="0.25">
      <c r="A651" s="2">
        <v>627</v>
      </c>
      <c r="B651" s="24" t="s">
        <v>9</v>
      </c>
      <c r="C651" t="s">
        <v>1540</v>
      </c>
      <c r="D651" s="6">
        <v>45978</v>
      </c>
      <c r="E651" s="45" t="s">
        <v>1592</v>
      </c>
      <c r="F651" s="13">
        <v>1010</v>
      </c>
      <c r="G651" s="12">
        <f t="shared" si="16"/>
        <v>1010</v>
      </c>
      <c r="H651" s="31">
        <v>45982</v>
      </c>
      <c r="J651" s="60">
        <v>2590016278</v>
      </c>
    </row>
    <row r="652" spans="1:10" x14ac:dyDescent="0.25">
      <c r="A652" s="2">
        <v>553</v>
      </c>
      <c r="B652" s="24" t="s">
        <v>9</v>
      </c>
      <c r="C652" t="s">
        <v>1542</v>
      </c>
      <c r="D652" s="6">
        <v>45978</v>
      </c>
      <c r="E652" s="45" t="s">
        <v>1544</v>
      </c>
      <c r="F652" s="13">
        <v>1555</v>
      </c>
      <c r="G652" s="12">
        <f t="shared" si="16"/>
        <v>0</v>
      </c>
      <c r="H652" s="50" t="s">
        <v>33</v>
      </c>
    </row>
    <row r="653" spans="1:10" x14ac:dyDescent="0.25">
      <c r="A653" s="2">
        <v>618</v>
      </c>
      <c r="B653" s="24" t="s">
        <v>9</v>
      </c>
      <c r="C653" t="s">
        <v>1539</v>
      </c>
      <c r="D653" s="6">
        <v>45978</v>
      </c>
      <c r="E653" s="45" t="s">
        <v>1590</v>
      </c>
      <c r="F653" s="13">
        <v>450</v>
      </c>
      <c r="G653" s="12">
        <f t="shared" si="16"/>
        <v>0</v>
      </c>
      <c r="H653" s="50" t="s">
        <v>33</v>
      </c>
    </row>
    <row r="654" spans="1:10" x14ac:dyDescent="0.25">
      <c r="A654" s="2">
        <v>63</v>
      </c>
      <c r="B654" s="24" t="s">
        <v>9</v>
      </c>
      <c r="C654" t="s">
        <v>1217</v>
      </c>
      <c r="D654" s="6">
        <v>45973</v>
      </c>
      <c r="E654" s="45" t="s">
        <v>1600</v>
      </c>
      <c r="F654" s="13">
        <v>1100</v>
      </c>
      <c r="G654" s="12">
        <f t="shared" si="16"/>
        <v>1100</v>
      </c>
      <c r="H654" s="51">
        <v>45942.595138888886</v>
      </c>
      <c r="J654" s="60">
        <v>2590017259</v>
      </c>
    </row>
    <row r="655" spans="1:10" x14ac:dyDescent="0.25">
      <c r="A655" s="2">
        <v>663</v>
      </c>
      <c r="B655" s="24" t="s">
        <v>9</v>
      </c>
      <c r="C655" t="s">
        <v>1217</v>
      </c>
      <c r="D655" s="6">
        <v>45973</v>
      </c>
      <c r="E655" s="45" t="s">
        <v>1600</v>
      </c>
      <c r="F655" s="13">
        <v>1100</v>
      </c>
      <c r="G655" s="12">
        <f t="shared" si="16"/>
        <v>1100</v>
      </c>
      <c r="H655" s="31">
        <v>46001</v>
      </c>
      <c r="J655" s="60">
        <v>2590017259</v>
      </c>
    </row>
    <row r="656" spans="1:10" x14ac:dyDescent="0.25">
      <c r="A656" s="2">
        <v>61</v>
      </c>
      <c r="B656" s="24" t="s">
        <v>9</v>
      </c>
      <c r="C656" t="s">
        <v>1217</v>
      </c>
      <c r="D656" s="6">
        <v>45973</v>
      </c>
      <c r="E656" s="45" t="s">
        <v>1601</v>
      </c>
      <c r="F656" s="13">
        <v>1700</v>
      </c>
      <c r="G656" s="12">
        <f t="shared" si="16"/>
        <v>1700</v>
      </c>
      <c r="H656" s="50" t="s">
        <v>1751</v>
      </c>
      <c r="J656" s="60">
        <v>2590016325</v>
      </c>
    </row>
    <row r="657" spans="1:10" x14ac:dyDescent="0.25">
      <c r="A657" s="2">
        <v>629</v>
      </c>
      <c r="B657" s="24" t="s">
        <v>9</v>
      </c>
      <c r="C657" t="s">
        <v>1217</v>
      </c>
      <c r="D657" s="6">
        <v>45973</v>
      </c>
      <c r="E657" s="45" t="s">
        <v>1601</v>
      </c>
      <c r="F657" s="13">
        <v>1700</v>
      </c>
      <c r="G657" s="12">
        <f t="shared" si="16"/>
        <v>1700</v>
      </c>
      <c r="H657" s="31">
        <v>45984</v>
      </c>
      <c r="J657" s="60">
        <v>2590016325</v>
      </c>
    </row>
    <row r="658" spans="1:10" x14ac:dyDescent="0.25">
      <c r="A658" s="2">
        <v>62</v>
      </c>
      <c r="B658" s="24" t="s">
        <v>9</v>
      </c>
      <c r="C658" t="s">
        <v>1217</v>
      </c>
      <c r="D658" s="6">
        <v>45973</v>
      </c>
      <c r="E658" s="45" t="s">
        <v>1602</v>
      </c>
      <c r="F658" s="13">
        <v>520</v>
      </c>
      <c r="G658" s="12">
        <f t="shared" si="16"/>
        <v>520</v>
      </c>
      <c r="H658" s="50" t="s">
        <v>1752</v>
      </c>
      <c r="J658" s="60">
        <v>2590016408</v>
      </c>
    </row>
    <row r="659" spans="1:10" x14ac:dyDescent="0.25">
      <c r="A659" s="2">
        <v>635</v>
      </c>
      <c r="B659" s="24" t="s">
        <v>9</v>
      </c>
      <c r="C659" t="s">
        <v>1217</v>
      </c>
      <c r="D659" s="6">
        <v>45973</v>
      </c>
      <c r="E659" s="45" t="s">
        <v>1602</v>
      </c>
      <c r="F659" s="13">
        <v>520</v>
      </c>
      <c r="G659" s="12">
        <f t="shared" si="16"/>
        <v>520</v>
      </c>
      <c r="H659" s="31">
        <v>45986</v>
      </c>
      <c r="J659" s="60">
        <v>2590016408</v>
      </c>
    </row>
    <row r="660" spans="1:10" x14ac:dyDescent="0.25">
      <c r="A660" s="2">
        <v>636</v>
      </c>
      <c r="B660" s="24" t="s">
        <v>9</v>
      </c>
      <c r="C660" t="s">
        <v>1545</v>
      </c>
      <c r="D660" s="6">
        <v>45978</v>
      </c>
      <c r="E660" s="45" t="s">
        <v>1595</v>
      </c>
      <c r="F660" s="13">
        <v>160.1</v>
      </c>
      <c r="G660" s="12">
        <f t="shared" si="16"/>
        <v>160.1</v>
      </c>
      <c r="H660" s="31">
        <v>45986</v>
      </c>
      <c r="J660" s="60">
        <v>2590016407</v>
      </c>
    </row>
    <row r="661" spans="1:10" x14ac:dyDescent="0.25">
      <c r="A661" s="2">
        <v>639</v>
      </c>
      <c r="B661" s="24" t="s">
        <v>9</v>
      </c>
      <c r="C661" t="s">
        <v>1523</v>
      </c>
      <c r="D661" s="6">
        <v>45984</v>
      </c>
      <c r="E661" s="45" t="s">
        <v>1524</v>
      </c>
      <c r="F661" s="13">
        <v>165</v>
      </c>
      <c r="G661" s="12">
        <f t="shared" si="16"/>
        <v>165</v>
      </c>
      <c r="H661" s="31">
        <v>45987</v>
      </c>
      <c r="J661" s="60" t="s">
        <v>1658</v>
      </c>
    </row>
    <row r="662" spans="1:10" x14ac:dyDescent="0.25">
      <c r="A662" s="2">
        <v>650</v>
      </c>
      <c r="B662" s="24" t="s">
        <v>9</v>
      </c>
      <c r="C662" t="s">
        <v>1507</v>
      </c>
      <c r="D662" s="6">
        <v>45986</v>
      </c>
      <c r="E662" s="45" t="s">
        <v>1582</v>
      </c>
      <c r="F662" s="13">
        <v>145</v>
      </c>
      <c r="G662" s="12">
        <f t="shared" si="16"/>
        <v>145</v>
      </c>
      <c r="H662" s="31">
        <v>45995</v>
      </c>
      <c r="J662" s="60">
        <v>2590016860</v>
      </c>
    </row>
    <row r="663" spans="1:10" x14ac:dyDescent="0.25">
      <c r="A663" s="2">
        <v>647</v>
      </c>
      <c r="B663" s="24" t="s">
        <v>9</v>
      </c>
      <c r="C663" t="s">
        <v>1507</v>
      </c>
      <c r="D663" s="6">
        <v>45986</v>
      </c>
      <c r="E663" s="45" t="s">
        <v>1580</v>
      </c>
      <c r="F663" s="13">
        <v>58.5</v>
      </c>
      <c r="G663" s="12">
        <f t="shared" si="16"/>
        <v>58.5</v>
      </c>
      <c r="H663" s="31">
        <v>45989</v>
      </c>
      <c r="J663" s="60">
        <v>2590016660</v>
      </c>
    </row>
    <row r="664" spans="1:10" x14ac:dyDescent="0.25">
      <c r="A664" s="2">
        <v>646</v>
      </c>
      <c r="B664" t="s">
        <v>95</v>
      </c>
      <c r="C664" t="s">
        <v>1507</v>
      </c>
      <c r="D664" s="6">
        <v>45986</v>
      </c>
      <c r="E664" t="s">
        <v>1579</v>
      </c>
      <c r="F664" s="13">
        <v>1313</v>
      </c>
      <c r="G664" s="12">
        <f t="shared" si="16"/>
        <v>1313</v>
      </c>
      <c r="H664" s="30">
        <v>45989</v>
      </c>
      <c r="J664" s="60">
        <v>2590016665</v>
      </c>
    </row>
    <row r="665" spans="1:10" x14ac:dyDescent="0.25">
      <c r="A665" s="2">
        <v>661</v>
      </c>
      <c r="B665" s="24" t="s">
        <v>9</v>
      </c>
      <c r="C665" t="s">
        <v>1507</v>
      </c>
      <c r="D665" s="6">
        <v>45986</v>
      </c>
      <c r="E665" s="45" t="s">
        <v>1581</v>
      </c>
      <c r="F665" s="13">
        <v>82.5</v>
      </c>
      <c r="G665" s="12">
        <f t="shared" si="16"/>
        <v>82.5</v>
      </c>
      <c r="H665" s="30">
        <v>45999</v>
      </c>
      <c r="J665" s="60">
        <v>2590016963</v>
      </c>
    </row>
    <row r="666" spans="1:10" x14ac:dyDescent="0.25">
      <c r="A666" s="2">
        <v>649</v>
      </c>
      <c r="B666" t="s">
        <v>95</v>
      </c>
      <c r="C666" t="s">
        <v>1504</v>
      </c>
      <c r="D666" s="6">
        <v>45986</v>
      </c>
      <c r="E666" t="s">
        <v>1506</v>
      </c>
      <c r="F666" s="13">
        <v>48000</v>
      </c>
      <c r="G666" s="12">
        <f t="shared" si="16"/>
        <v>48000</v>
      </c>
      <c r="H666" s="30">
        <v>45995</v>
      </c>
      <c r="J666" s="60" t="s">
        <v>1657</v>
      </c>
    </row>
    <row r="667" spans="1:10" x14ac:dyDescent="0.25">
      <c r="A667" s="2">
        <v>666</v>
      </c>
      <c r="B667" s="24" t="s">
        <v>9</v>
      </c>
      <c r="C667" t="s">
        <v>1512</v>
      </c>
      <c r="D667" s="6">
        <v>45985</v>
      </c>
      <c r="E667" s="45" t="s">
        <v>1585</v>
      </c>
      <c r="F667" s="13">
        <v>124</v>
      </c>
      <c r="G667" s="12">
        <f t="shared" si="16"/>
        <v>124</v>
      </c>
      <c r="H667" s="31">
        <v>46001</v>
      </c>
      <c r="J667" s="60">
        <v>2590017260</v>
      </c>
    </row>
    <row r="668" spans="1:10" x14ac:dyDescent="0.25">
      <c r="A668" s="2">
        <v>645</v>
      </c>
      <c r="B668" s="24" t="s">
        <v>9</v>
      </c>
      <c r="C668" t="s">
        <v>1512</v>
      </c>
      <c r="D668" s="6">
        <v>45985</v>
      </c>
      <c r="E668" s="45" t="s">
        <v>1584</v>
      </c>
      <c r="F668" s="13">
        <v>390</v>
      </c>
      <c r="G668" s="12">
        <f t="shared" si="16"/>
        <v>390</v>
      </c>
      <c r="H668" s="30">
        <v>45989</v>
      </c>
      <c r="J668" s="60">
        <v>2590016664</v>
      </c>
    </row>
    <row r="669" spans="1:10" x14ac:dyDescent="0.25">
      <c r="A669" s="2">
        <v>477</v>
      </c>
      <c r="B669" s="24" t="s">
        <v>9</v>
      </c>
      <c r="C669" t="s">
        <v>1263</v>
      </c>
      <c r="D669" s="6">
        <v>45966</v>
      </c>
      <c r="E669" s="45" t="s">
        <v>1553</v>
      </c>
      <c r="F669" s="13">
        <v>488.09</v>
      </c>
      <c r="G669" s="12">
        <f t="shared" si="16"/>
        <v>488.09</v>
      </c>
      <c r="H669" s="51">
        <v>45850.429166666669</v>
      </c>
      <c r="J669" s="60">
        <v>2590016948</v>
      </c>
    </row>
    <row r="670" spans="1:10" x14ac:dyDescent="0.25">
      <c r="A670" s="2">
        <v>651</v>
      </c>
      <c r="B670" s="24" t="s">
        <v>9</v>
      </c>
      <c r="C670" t="s">
        <v>1263</v>
      </c>
      <c r="D670" s="6">
        <v>45966</v>
      </c>
      <c r="E670" s="45" t="s">
        <v>1553</v>
      </c>
      <c r="F670" s="13">
        <v>488.09</v>
      </c>
      <c r="G670" s="12">
        <f t="shared" si="16"/>
        <v>488.09</v>
      </c>
      <c r="H670" s="31">
        <v>45998</v>
      </c>
      <c r="J670" s="60" t="s">
        <v>1656</v>
      </c>
    </row>
    <row r="671" spans="1:10" x14ac:dyDescent="0.25">
      <c r="A671" s="2">
        <v>654</v>
      </c>
      <c r="B671" s="24" t="s">
        <v>9</v>
      </c>
      <c r="C671" t="s">
        <v>1530</v>
      </c>
      <c r="D671" s="6">
        <v>45980</v>
      </c>
      <c r="E671" s="45" t="s">
        <v>1586</v>
      </c>
      <c r="F671" s="13">
        <v>600</v>
      </c>
      <c r="G671" s="12">
        <f t="shared" si="16"/>
        <v>600</v>
      </c>
      <c r="H671" s="30">
        <v>45999</v>
      </c>
      <c r="J671" s="60">
        <v>2590016959</v>
      </c>
    </row>
    <row r="672" spans="1:10" x14ac:dyDescent="0.25">
      <c r="A672" s="2">
        <v>648</v>
      </c>
      <c r="B672" s="24" t="s">
        <v>9</v>
      </c>
      <c r="C672" t="s">
        <v>1588</v>
      </c>
      <c r="D672" s="6">
        <v>45979</v>
      </c>
      <c r="E672" s="45" t="s">
        <v>1587</v>
      </c>
      <c r="F672" s="13">
        <v>435</v>
      </c>
      <c r="G672" s="12">
        <f t="shared" si="16"/>
        <v>435</v>
      </c>
      <c r="H672" s="31">
        <v>45995</v>
      </c>
      <c r="J672" s="60">
        <v>2590016862</v>
      </c>
    </row>
    <row r="673" spans="1:10" x14ac:dyDescent="0.25">
      <c r="A673" s="2">
        <v>673</v>
      </c>
      <c r="B673" t="s">
        <v>95</v>
      </c>
      <c r="C673" t="s">
        <v>1510</v>
      </c>
      <c r="D673" s="6">
        <v>45986</v>
      </c>
      <c r="E673" t="s">
        <v>1511</v>
      </c>
      <c r="F673" s="13">
        <v>37630</v>
      </c>
      <c r="G673" s="12">
        <f t="shared" si="16"/>
        <v>37630</v>
      </c>
      <c r="H673" s="31">
        <v>46003</v>
      </c>
      <c r="J673" s="60" t="s">
        <v>1655</v>
      </c>
    </row>
    <row r="674" spans="1:10" x14ac:dyDescent="0.25">
      <c r="A674" s="2">
        <v>657</v>
      </c>
      <c r="B674" s="24" t="s">
        <v>9</v>
      </c>
      <c r="C674" t="s">
        <v>1514</v>
      </c>
      <c r="D674" s="6">
        <v>45985</v>
      </c>
      <c r="E674" s="45" t="s">
        <v>1516</v>
      </c>
      <c r="F674" s="13">
        <v>247.5</v>
      </c>
      <c r="G674" s="12">
        <f t="shared" si="16"/>
        <v>247.5</v>
      </c>
      <c r="H674" s="31">
        <v>45999</v>
      </c>
      <c r="J674" s="60" t="s">
        <v>1654</v>
      </c>
    </row>
    <row r="675" spans="1:10" x14ac:dyDescent="0.25">
      <c r="A675" s="2">
        <v>667</v>
      </c>
      <c r="B675" s="24" t="s">
        <v>9</v>
      </c>
      <c r="C675" t="s">
        <v>1491</v>
      </c>
      <c r="D675" s="6">
        <v>45990</v>
      </c>
      <c r="E675" s="45" t="s">
        <v>1577</v>
      </c>
      <c r="F675" s="13">
        <v>690</v>
      </c>
      <c r="G675" s="12">
        <f t="shared" si="16"/>
        <v>690</v>
      </c>
      <c r="H675" s="31">
        <v>46001</v>
      </c>
      <c r="J675" s="60">
        <v>2590017266</v>
      </c>
    </row>
    <row r="676" spans="1:10" x14ac:dyDescent="0.25">
      <c r="A676" s="2">
        <v>233</v>
      </c>
      <c r="B676" s="24" t="s">
        <v>9</v>
      </c>
      <c r="C676" t="s">
        <v>1493</v>
      </c>
      <c r="D676" s="6">
        <v>45989</v>
      </c>
      <c r="E676" s="45" t="s">
        <v>1495</v>
      </c>
      <c r="F676" s="13">
        <v>236.25</v>
      </c>
      <c r="G676" s="12">
        <f t="shared" si="16"/>
        <v>236.25</v>
      </c>
      <c r="H676" s="30">
        <v>45850</v>
      </c>
      <c r="J676" s="60" t="s">
        <v>1653</v>
      </c>
    </row>
    <row r="677" spans="1:10" x14ac:dyDescent="0.25">
      <c r="A677" s="2">
        <v>653</v>
      </c>
      <c r="B677" s="24" t="s">
        <v>9</v>
      </c>
      <c r="C677" t="s">
        <v>1575</v>
      </c>
      <c r="D677" s="6">
        <v>45989</v>
      </c>
      <c r="E677" s="45" t="s">
        <v>1576</v>
      </c>
      <c r="F677" s="13">
        <v>195</v>
      </c>
      <c r="G677" s="12">
        <f t="shared" si="16"/>
        <v>195</v>
      </c>
      <c r="H677" s="31">
        <v>45998</v>
      </c>
      <c r="J677" s="60">
        <v>2590016943</v>
      </c>
    </row>
    <row r="678" spans="1:10" x14ac:dyDescent="0.25">
      <c r="A678" s="2">
        <v>668</v>
      </c>
      <c r="B678" s="24" t="s">
        <v>9</v>
      </c>
      <c r="C678" t="s">
        <v>1491</v>
      </c>
      <c r="D678" s="6">
        <v>45990</v>
      </c>
      <c r="E678" s="45" t="s">
        <v>1578</v>
      </c>
      <c r="F678" s="13">
        <v>1317</v>
      </c>
      <c r="G678" s="12">
        <f t="shared" si="16"/>
        <v>1317</v>
      </c>
      <c r="H678" s="31">
        <v>46001</v>
      </c>
      <c r="J678" s="60">
        <v>2590017265</v>
      </c>
    </row>
    <row r="679" spans="1:10" x14ac:dyDescent="0.25">
      <c r="A679" s="2">
        <v>546</v>
      </c>
      <c r="B679" s="24" t="s">
        <v>9</v>
      </c>
      <c r="C679" t="s">
        <v>1498</v>
      </c>
      <c r="D679" s="6">
        <v>45986</v>
      </c>
      <c r="E679" s="55" t="s">
        <v>1500</v>
      </c>
      <c r="F679" s="13">
        <v>3878.2</v>
      </c>
      <c r="G679" s="12">
        <f t="shared" si="16"/>
        <v>0</v>
      </c>
      <c r="H679" s="50" t="s">
        <v>33</v>
      </c>
    </row>
    <row r="680" spans="1:10" x14ac:dyDescent="0.25">
      <c r="A680" s="2">
        <v>683</v>
      </c>
      <c r="B680" s="24" t="s">
        <v>9</v>
      </c>
      <c r="C680" t="s">
        <v>1486</v>
      </c>
      <c r="D680" s="6">
        <v>45996</v>
      </c>
      <c r="E680" s="45" t="s">
        <v>1573</v>
      </c>
      <c r="F680" s="13">
        <v>3957.6</v>
      </c>
      <c r="G680" s="12">
        <f t="shared" si="16"/>
        <v>3957.6</v>
      </c>
      <c r="H680" s="31">
        <v>46009</v>
      </c>
      <c r="J680" s="60">
        <v>2590017872</v>
      </c>
    </row>
    <row r="681" spans="1:10" x14ac:dyDescent="0.25">
      <c r="A681" s="2">
        <v>612</v>
      </c>
      <c r="B681" s="24" t="s">
        <v>9</v>
      </c>
      <c r="C681" t="s">
        <v>1512</v>
      </c>
      <c r="D681" s="6">
        <v>45985</v>
      </c>
      <c r="E681" s="45" t="s">
        <v>1583</v>
      </c>
      <c r="F681" s="13">
        <v>930</v>
      </c>
      <c r="G681" s="12">
        <f t="shared" si="16"/>
        <v>0</v>
      </c>
      <c r="H681" s="50" t="s">
        <v>33</v>
      </c>
    </row>
    <row r="682" spans="1:10" x14ac:dyDescent="0.25">
      <c r="A682" s="2">
        <v>677</v>
      </c>
      <c r="B682" s="24" t="s">
        <v>9</v>
      </c>
      <c r="C682" t="s">
        <v>1486</v>
      </c>
      <c r="D682" s="6">
        <v>45996</v>
      </c>
      <c r="E682" s="45" t="s">
        <v>1574</v>
      </c>
      <c r="F682" s="13">
        <v>77</v>
      </c>
      <c r="G682" s="12">
        <f t="shared" si="16"/>
        <v>77</v>
      </c>
      <c r="H682" s="31">
        <v>46007</v>
      </c>
      <c r="J682" s="60">
        <v>2590017648</v>
      </c>
    </row>
    <row r="683" spans="1:10" x14ac:dyDescent="0.25">
      <c r="A683" s="2">
        <v>545</v>
      </c>
      <c r="B683" t="s">
        <v>95</v>
      </c>
      <c r="C683" t="s">
        <v>1496</v>
      </c>
      <c r="D683" s="6">
        <v>45989</v>
      </c>
      <c r="E683" s="45" t="s">
        <v>1497</v>
      </c>
      <c r="F683" s="13">
        <v>29840</v>
      </c>
      <c r="G683" s="12">
        <f t="shared" si="16"/>
        <v>0</v>
      </c>
      <c r="H683" s="50" t="s">
        <v>33</v>
      </c>
    </row>
    <row r="684" spans="1:10" x14ac:dyDescent="0.25">
      <c r="A684" s="2">
        <v>544</v>
      </c>
      <c r="B684" t="s">
        <v>95</v>
      </c>
      <c r="C684" t="s">
        <v>1476</v>
      </c>
      <c r="D684" s="6">
        <v>46001</v>
      </c>
      <c r="E684" s="45" t="s">
        <v>1478</v>
      </c>
      <c r="F684" s="13">
        <v>1075</v>
      </c>
      <c r="G684" s="12">
        <f t="shared" si="16"/>
        <v>0</v>
      </c>
      <c r="H684" s="50" t="s">
        <v>33</v>
      </c>
    </row>
    <row r="685" spans="1:10" x14ac:dyDescent="0.25">
      <c r="A685" s="2">
        <v>543</v>
      </c>
      <c r="B685" t="s">
        <v>95</v>
      </c>
      <c r="C685" t="s">
        <v>1460</v>
      </c>
      <c r="D685" s="6">
        <v>46003</v>
      </c>
      <c r="E685" s="45" t="s">
        <v>1461</v>
      </c>
      <c r="F685" s="13">
        <v>202</v>
      </c>
      <c r="G685" s="12">
        <f t="shared" si="16"/>
        <v>0</v>
      </c>
      <c r="H685" s="50" t="s">
        <v>33</v>
      </c>
    </row>
    <row r="686" spans="1:10" x14ac:dyDescent="0.25">
      <c r="A686" s="2">
        <v>690</v>
      </c>
      <c r="B686" t="s">
        <v>95</v>
      </c>
      <c r="C686" t="s">
        <v>1462</v>
      </c>
      <c r="D686" s="6">
        <v>46003</v>
      </c>
      <c r="E686" t="s">
        <v>1463</v>
      </c>
      <c r="F686" s="13">
        <v>7460</v>
      </c>
      <c r="G686" s="12">
        <f t="shared" si="16"/>
        <v>7460</v>
      </c>
      <c r="H686" s="31">
        <v>46015</v>
      </c>
      <c r="J686" s="60" t="s">
        <v>1652</v>
      </c>
    </row>
    <row r="687" spans="1:10" x14ac:dyDescent="0.25">
      <c r="A687" s="2">
        <v>679</v>
      </c>
      <c r="B687" s="24" t="s">
        <v>9</v>
      </c>
      <c r="C687" t="s">
        <v>1464</v>
      </c>
      <c r="D687" s="6">
        <v>46001</v>
      </c>
      <c r="E687" s="45" t="s">
        <v>1571</v>
      </c>
      <c r="F687" s="13">
        <v>240</v>
      </c>
      <c r="G687" s="12">
        <f t="shared" si="16"/>
        <v>240</v>
      </c>
      <c r="H687" s="31">
        <v>46008</v>
      </c>
      <c r="J687" s="60">
        <v>2590017827</v>
      </c>
    </row>
    <row r="688" spans="1:10" x14ac:dyDescent="0.25">
      <c r="A688" s="2">
        <v>678</v>
      </c>
      <c r="B688" s="24" t="s">
        <v>9</v>
      </c>
      <c r="C688" t="s">
        <v>1466</v>
      </c>
      <c r="D688" s="6">
        <v>46001</v>
      </c>
      <c r="E688" s="45" t="s">
        <v>1468</v>
      </c>
      <c r="F688" s="13">
        <v>392</v>
      </c>
      <c r="G688" s="12">
        <f t="shared" si="16"/>
        <v>392</v>
      </c>
      <c r="H688" s="31">
        <v>46008</v>
      </c>
      <c r="J688" s="60" t="s">
        <v>1651</v>
      </c>
    </row>
    <row r="689" spans="1:10" x14ac:dyDescent="0.25">
      <c r="A689" s="2">
        <v>680</v>
      </c>
      <c r="B689" s="24" t="s">
        <v>9</v>
      </c>
      <c r="C689" t="s">
        <v>1453</v>
      </c>
      <c r="D689" s="6">
        <v>46003</v>
      </c>
      <c r="E689" s="45" t="s">
        <v>1455</v>
      </c>
      <c r="F689" s="13">
        <v>360</v>
      </c>
      <c r="G689" s="12">
        <f t="shared" si="16"/>
        <v>360</v>
      </c>
      <c r="H689" s="31">
        <v>46008</v>
      </c>
      <c r="J689" s="60" t="s">
        <v>1650</v>
      </c>
    </row>
    <row r="690" spans="1:10" x14ac:dyDescent="0.25">
      <c r="A690" s="2">
        <v>696</v>
      </c>
      <c r="B690" s="24" t="s">
        <v>9</v>
      </c>
      <c r="C690" t="s">
        <v>1451</v>
      </c>
      <c r="D690" s="6">
        <v>46003</v>
      </c>
      <c r="E690" s="45" t="s">
        <v>1452</v>
      </c>
      <c r="F690" s="13">
        <v>806</v>
      </c>
      <c r="G690" s="12">
        <f t="shared" si="16"/>
        <v>806</v>
      </c>
      <c r="H690" s="31">
        <v>46017</v>
      </c>
      <c r="J690" s="60" t="s">
        <v>1649</v>
      </c>
    </row>
    <row r="691" spans="1:10" x14ac:dyDescent="0.25">
      <c r="A691" s="2">
        <v>682</v>
      </c>
      <c r="B691" s="24" t="s">
        <v>9</v>
      </c>
      <c r="C691" t="s">
        <v>1448</v>
      </c>
      <c r="D691" s="6">
        <v>46006</v>
      </c>
      <c r="E691" s="45" t="s">
        <v>1450</v>
      </c>
      <c r="F691" s="13">
        <v>1500</v>
      </c>
      <c r="G691" s="12">
        <f t="shared" si="16"/>
        <v>1500</v>
      </c>
      <c r="H691" s="31">
        <v>46008</v>
      </c>
      <c r="J691" s="60" t="s">
        <v>1648</v>
      </c>
    </row>
    <row r="692" spans="1:10" x14ac:dyDescent="0.25">
      <c r="A692" s="2">
        <v>684</v>
      </c>
      <c r="B692" s="24" t="s">
        <v>9</v>
      </c>
      <c r="C692" t="s">
        <v>1469</v>
      </c>
      <c r="D692" s="6">
        <v>46001</v>
      </c>
      <c r="E692" s="45" t="s">
        <v>1471</v>
      </c>
      <c r="F692" s="13">
        <v>567.9</v>
      </c>
      <c r="G692" s="12">
        <f t="shared" si="16"/>
        <v>567.9</v>
      </c>
      <c r="H692" s="31">
        <v>46009</v>
      </c>
      <c r="J692" s="60" t="s">
        <v>1647</v>
      </c>
    </row>
    <row r="693" spans="1:10" x14ac:dyDescent="0.25">
      <c r="A693" s="2">
        <v>536</v>
      </c>
      <c r="B693" s="17" t="s">
        <v>95</v>
      </c>
      <c r="C693" s="17" t="s">
        <v>1446</v>
      </c>
      <c r="D693" s="34">
        <v>46008</v>
      </c>
      <c r="E693" s="55" t="s">
        <v>1447</v>
      </c>
      <c r="F693" s="35">
        <v>5380</v>
      </c>
      <c r="G693" s="12">
        <f t="shared" si="16"/>
        <v>0</v>
      </c>
      <c r="H693" s="52" t="s">
        <v>33</v>
      </c>
      <c r="I693" s="17"/>
      <c r="J693" s="61"/>
    </row>
    <row r="694" spans="1:10" x14ac:dyDescent="0.25">
      <c r="A694" s="2">
        <v>687</v>
      </c>
      <c r="B694" s="24" t="s">
        <v>9</v>
      </c>
      <c r="C694" t="s">
        <v>1464</v>
      </c>
      <c r="D694" s="6">
        <v>46001</v>
      </c>
      <c r="E694" s="45" t="s">
        <v>1572</v>
      </c>
      <c r="F694" s="13">
        <v>345</v>
      </c>
      <c r="G694" s="12">
        <f t="shared" si="16"/>
        <v>345</v>
      </c>
      <c r="H694" s="31">
        <v>46013</v>
      </c>
      <c r="J694" s="60">
        <v>2590018026</v>
      </c>
    </row>
    <row r="695" spans="1:10" x14ac:dyDescent="0.25">
      <c r="A695" s="2">
        <v>535</v>
      </c>
      <c r="B695" s="24" t="s">
        <v>9</v>
      </c>
      <c r="C695" t="s">
        <v>1474</v>
      </c>
      <c r="D695" s="6">
        <v>46001</v>
      </c>
      <c r="E695" s="45" t="s">
        <v>1475</v>
      </c>
      <c r="F695" s="13">
        <v>170</v>
      </c>
      <c r="G695" s="12">
        <f t="shared" si="16"/>
        <v>0</v>
      </c>
      <c r="H695" s="50" t="s">
        <v>33</v>
      </c>
    </row>
    <row r="696" spans="1:10" x14ac:dyDescent="0.25">
      <c r="A696" s="2">
        <v>533</v>
      </c>
      <c r="B696" s="24" t="s">
        <v>9</v>
      </c>
      <c r="C696" t="s">
        <v>1423</v>
      </c>
      <c r="D696" s="6">
        <v>46015</v>
      </c>
      <c r="E696" s="45" t="s">
        <v>1425</v>
      </c>
      <c r="F696" s="13">
        <v>1400</v>
      </c>
      <c r="G696" s="12">
        <f t="shared" si="16"/>
        <v>0</v>
      </c>
      <c r="H696" s="50" t="s">
        <v>33</v>
      </c>
    </row>
    <row r="697" spans="1:10" x14ac:dyDescent="0.25">
      <c r="A697" s="2">
        <v>534</v>
      </c>
      <c r="B697" s="24" t="s">
        <v>9</v>
      </c>
      <c r="C697" t="s">
        <v>1459</v>
      </c>
      <c r="D697" s="6">
        <v>46003</v>
      </c>
      <c r="E697" s="45" t="s">
        <v>1425</v>
      </c>
      <c r="F697" s="13">
        <v>0</v>
      </c>
      <c r="G697" s="12">
        <f t="shared" si="16"/>
        <v>0</v>
      </c>
      <c r="H697" s="50" t="s">
        <v>33</v>
      </c>
    </row>
    <row r="698" spans="1:10" x14ac:dyDescent="0.25">
      <c r="A698" s="2">
        <v>532</v>
      </c>
      <c r="B698" s="24" t="s">
        <v>9</v>
      </c>
      <c r="C698" t="s">
        <v>1443</v>
      </c>
      <c r="D698" s="6">
        <v>46008</v>
      </c>
      <c r="E698" s="45" t="s">
        <v>1445</v>
      </c>
      <c r="F698" s="13">
        <v>7500</v>
      </c>
      <c r="G698" s="12">
        <f t="shared" si="16"/>
        <v>0</v>
      </c>
      <c r="H698" s="50" t="s">
        <v>33</v>
      </c>
    </row>
    <row r="699" spans="1:10" x14ac:dyDescent="0.25">
      <c r="A699" s="2">
        <v>689</v>
      </c>
      <c r="B699" s="24" t="s">
        <v>9</v>
      </c>
      <c r="C699" t="s">
        <v>1464</v>
      </c>
      <c r="D699" s="6">
        <v>46001</v>
      </c>
      <c r="E699" s="45" t="s">
        <v>1569</v>
      </c>
      <c r="F699" s="13">
        <v>472.3</v>
      </c>
      <c r="G699" s="12">
        <f t="shared" si="16"/>
        <v>472.3</v>
      </c>
      <c r="H699" s="31">
        <v>46015</v>
      </c>
      <c r="J699" s="60">
        <v>2590018258</v>
      </c>
    </row>
    <row r="700" spans="1:10" x14ac:dyDescent="0.25">
      <c r="A700" s="2">
        <v>692</v>
      </c>
      <c r="B700" s="24" t="s">
        <v>9</v>
      </c>
      <c r="C700" t="s">
        <v>1431</v>
      </c>
      <c r="D700" s="6">
        <v>46013</v>
      </c>
      <c r="E700" s="45" t="s">
        <v>1433</v>
      </c>
      <c r="F700" s="13">
        <v>200</v>
      </c>
      <c r="G700" s="12">
        <f t="shared" si="16"/>
        <v>200</v>
      </c>
      <c r="H700" s="31">
        <v>46015</v>
      </c>
      <c r="J700" s="60" t="s">
        <v>1646</v>
      </c>
    </row>
    <row r="701" spans="1:10" x14ac:dyDescent="0.25">
      <c r="A701" s="2">
        <v>530</v>
      </c>
      <c r="B701" s="24" t="s">
        <v>9</v>
      </c>
      <c r="C701" t="s">
        <v>1484</v>
      </c>
      <c r="D701" s="6">
        <v>45999</v>
      </c>
      <c r="E701" s="45" t="s">
        <v>1485</v>
      </c>
      <c r="F701" s="13">
        <v>174</v>
      </c>
      <c r="G701" s="12">
        <f t="shared" si="16"/>
        <v>0</v>
      </c>
      <c r="H701" s="50" t="s">
        <v>33</v>
      </c>
    </row>
    <row r="702" spans="1:10" x14ac:dyDescent="0.25">
      <c r="A702" s="2">
        <v>595</v>
      </c>
      <c r="B702" s="24" t="s">
        <v>9</v>
      </c>
      <c r="C702" t="s">
        <v>1434</v>
      </c>
      <c r="D702" s="6">
        <v>46010</v>
      </c>
      <c r="E702" s="45" t="s">
        <v>1565</v>
      </c>
      <c r="F702" s="13">
        <v>1080</v>
      </c>
      <c r="G702" s="12">
        <f t="shared" si="16"/>
        <v>0</v>
      </c>
      <c r="H702" s="50" t="s">
        <v>33</v>
      </c>
    </row>
    <row r="703" spans="1:10" x14ac:dyDescent="0.25">
      <c r="A703" s="2">
        <v>697</v>
      </c>
      <c r="B703" s="24" t="s">
        <v>9</v>
      </c>
      <c r="C703" t="s">
        <v>1434</v>
      </c>
      <c r="D703" s="6">
        <v>46010</v>
      </c>
      <c r="E703" s="45" t="s">
        <v>1567</v>
      </c>
      <c r="F703" s="13">
        <v>270</v>
      </c>
      <c r="G703" s="12">
        <f t="shared" si="16"/>
        <v>270</v>
      </c>
      <c r="H703" s="31">
        <v>46017</v>
      </c>
      <c r="J703" s="60">
        <v>2590018306</v>
      </c>
    </row>
    <row r="704" spans="1:10" x14ac:dyDescent="0.25">
      <c r="A704" s="2">
        <v>694</v>
      </c>
      <c r="B704" s="24" t="s">
        <v>9</v>
      </c>
      <c r="C704" t="s">
        <v>1434</v>
      </c>
      <c r="D704" s="6">
        <v>46010</v>
      </c>
      <c r="E704" s="45" t="s">
        <v>1566</v>
      </c>
      <c r="F704" s="13">
        <v>1535</v>
      </c>
      <c r="G704" s="12">
        <f t="shared" si="16"/>
        <v>1535</v>
      </c>
      <c r="H704" s="31">
        <v>46016</v>
      </c>
      <c r="J704" s="60">
        <v>2590018286</v>
      </c>
    </row>
    <row r="705" spans="1:10" x14ac:dyDescent="0.25">
      <c r="A705" s="2">
        <v>704</v>
      </c>
      <c r="B705" s="24" t="s">
        <v>9</v>
      </c>
      <c r="C705" t="s">
        <v>1434</v>
      </c>
      <c r="D705" s="6">
        <v>46010</v>
      </c>
      <c r="E705" s="45" t="s">
        <v>1568</v>
      </c>
      <c r="F705" s="13">
        <v>430</v>
      </c>
      <c r="G705" s="12">
        <f t="shared" si="16"/>
        <v>430</v>
      </c>
      <c r="H705" s="31">
        <v>46027</v>
      </c>
      <c r="J705" s="60">
        <v>2690000099</v>
      </c>
    </row>
    <row r="706" spans="1:10" x14ac:dyDescent="0.25">
      <c r="A706" s="2">
        <v>698</v>
      </c>
      <c r="B706" s="24" t="s">
        <v>9</v>
      </c>
      <c r="C706" t="s">
        <v>1426</v>
      </c>
      <c r="D706" s="6">
        <v>46014</v>
      </c>
      <c r="E706" s="45" t="s">
        <v>1562</v>
      </c>
      <c r="F706" s="13">
        <v>2465</v>
      </c>
      <c r="G706" s="12">
        <f t="shared" si="16"/>
        <v>2465</v>
      </c>
      <c r="H706" s="31">
        <v>46017</v>
      </c>
      <c r="J706" s="60">
        <v>2590018331</v>
      </c>
    </row>
    <row r="707" spans="1:10" x14ac:dyDescent="0.25">
      <c r="A707" s="2">
        <v>707</v>
      </c>
      <c r="B707" s="24" t="s">
        <v>9</v>
      </c>
      <c r="C707" t="s">
        <v>1426</v>
      </c>
      <c r="D707" s="6">
        <v>46014</v>
      </c>
      <c r="E707" s="45" t="s">
        <v>1564</v>
      </c>
      <c r="F707" s="13">
        <v>80</v>
      </c>
      <c r="G707" s="12">
        <f t="shared" si="16"/>
        <v>80</v>
      </c>
      <c r="H707" s="31">
        <v>46028</v>
      </c>
      <c r="J707" s="60">
        <v>2690000155</v>
      </c>
    </row>
    <row r="708" spans="1:10" x14ac:dyDescent="0.25">
      <c r="A708" s="2">
        <v>590</v>
      </c>
      <c r="B708" s="24" t="s">
        <v>9</v>
      </c>
      <c r="C708" t="s">
        <v>1426</v>
      </c>
      <c r="D708" s="6">
        <v>46014</v>
      </c>
      <c r="E708" s="45" t="s">
        <v>1560</v>
      </c>
      <c r="F708" s="13">
        <v>1115.5</v>
      </c>
      <c r="G708" s="12">
        <f t="shared" si="16"/>
        <v>0</v>
      </c>
      <c r="H708" s="50" t="s">
        <v>33</v>
      </c>
    </row>
    <row r="709" spans="1:10" x14ac:dyDescent="0.25">
      <c r="A709" s="2">
        <v>706</v>
      </c>
      <c r="B709" s="24" t="s">
        <v>9</v>
      </c>
      <c r="C709" t="s">
        <v>1426</v>
      </c>
      <c r="D709" s="6">
        <v>46014</v>
      </c>
      <c r="E709" s="45" t="s">
        <v>1561</v>
      </c>
      <c r="F709" s="13">
        <v>1769.2</v>
      </c>
      <c r="G709" s="12">
        <f t="shared" si="16"/>
        <v>1769.2</v>
      </c>
      <c r="H709" s="31">
        <v>46028</v>
      </c>
      <c r="J709" s="60">
        <v>2690000186</v>
      </c>
    </row>
    <row r="710" spans="1:10" x14ac:dyDescent="0.25">
      <c r="A710" s="2">
        <v>702</v>
      </c>
      <c r="B710" s="24" t="s">
        <v>9</v>
      </c>
      <c r="C710" t="s">
        <v>1426</v>
      </c>
      <c r="D710" s="6">
        <v>46014</v>
      </c>
      <c r="E710" s="45" t="s">
        <v>1563</v>
      </c>
      <c r="F710" s="13">
        <v>36</v>
      </c>
      <c r="G710" s="12">
        <f t="shared" si="16"/>
        <v>36</v>
      </c>
      <c r="H710" s="31">
        <v>46026</v>
      </c>
      <c r="J710" s="60">
        <v>2690000074</v>
      </c>
    </row>
    <row r="711" spans="1:10" x14ac:dyDescent="0.25">
      <c r="A711" s="2">
        <v>700</v>
      </c>
      <c r="B711" s="24" t="s">
        <v>9</v>
      </c>
      <c r="C711" t="s">
        <v>1482</v>
      </c>
      <c r="D711" s="6">
        <v>46000</v>
      </c>
      <c r="E711" s="45" t="s">
        <v>1483</v>
      </c>
      <c r="F711" s="13">
        <v>820</v>
      </c>
      <c r="G711" s="12">
        <f t="shared" si="16"/>
        <v>820</v>
      </c>
      <c r="H711" s="31">
        <v>46019</v>
      </c>
      <c r="J711" s="60" t="s">
        <v>1645</v>
      </c>
    </row>
    <row r="712" spans="1:10" x14ac:dyDescent="0.25">
      <c r="A712" s="2">
        <v>703</v>
      </c>
      <c r="B712" t="s">
        <v>95</v>
      </c>
      <c r="C712" t="s">
        <v>1422</v>
      </c>
      <c r="D712" s="6">
        <v>46016</v>
      </c>
      <c r="E712" t="s">
        <v>1559</v>
      </c>
      <c r="F712" s="13">
        <v>210</v>
      </c>
      <c r="G712" s="12">
        <f t="shared" ref="G712:G720" si="17">IF(J712&gt;0,F712,0)</f>
        <v>210</v>
      </c>
      <c r="H712" s="31">
        <v>46026</v>
      </c>
      <c r="J712" s="60">
        <v>2690000073</v>
      </c>
    </row>
    <row r="713" spans="1:10" x14ac:dyDescent="0.25">
      <c r="A713" s="2">
        <v>709</v>
      </c>
      <c r="B713" s="24" t="s">
        <v>9</v>
      </c>
      <c r="C713" t="s">
        <v>1422</v>
      </c>
      <c r="D713" s="6">
        <v>46016</v>
      </c>
      <c r="E713" s="45" t="s">
        <v>1558</v>
      </c>
      <c r="F713" s="13">
        <v>3093.6</v>
      </c>
      <c r="G713" s="12">
        <f t="shared" si="17"/>
        <v>3093.6</v>
      </c>
      <c r="H713" s="31">
        <v>46028</v>
      </c>
      <c r="J713" s="60">
        <v>2690000185</v>
      </c>
    </row>
    <row r="714" spans="1:10" x14ac:dyDescent="0.25">
      <c r="A714" s="2">
        <v>708</v>
      </c>
      <c r="B714" s="24" t="s">
        <v>9</v>
      </c>
      <c r="C714" t="s">
        <v>1417</v>
      </c>
      <c r="D714" s="6">
        <v>46016</v>
      </c>
      <c r="E714" s="45" t="s">
        <v>1419</v>
      </c>
      <c r="F714" s="13">
        <v>830</v>
      </c>
      <c r="G714" s="12">
        <f t="shared" si="17"/>
        <v>830</v>
      </c>
      <c r="H714" s="31">
        <v>46028</v>
      </c>
      <c r="J714" s="60" t="s">
        <v>1644</v>
      </c>
    </row>
    <row r="715" spans="1:10" x14ac:dyDescent="0.25">
      <c r="A715" s="2">
        <v>527</v>
      </c>
      <c r="B715" s="24" t="s">
        <v>9</v>
      </c>
      <c r="C715" t="s">
        <v>1414</v>
      </c>
      <c r="D715" s="6">
        <v>46019</v>
      </c>
      <c r="E715" s="45" t="s">
        <v>1416</v>
      </c>
      <c r="F715" s="13">
        <v>2735</v>
      </c>
      <c r="G715" s="12">
        <f t="shared" si="17"/>
        <v>0</v>
      </c>
      <c r="H715" s="50" t="s">
        <v>33</v>
      </c>
    </row>
    <row r="716" spans="1:10" x14ac:dyDescent="0.25">
      <c r="A716" s="2">
        <v>600</v>
      </c>
      <c r="B716" s="24" t="s">
        <v>9</v>
      </c>
      <c r="C716" t="s">
        <v>1464</v>
      </c>
      <c r="D716" s="6">
        <v>46001</v>
      </c>
      <c r="E716" s="45" t="s">
        <v>1570</v>
      </c>
      <c r="F716" s="13">
        <v>204.7</v>
      </c>
      <c r="G716" s="12">
        <f t="shared" si="17"/>
        <v>0</v>
      </c>
      <c r="H716" s="50" t="s">
        <v>33</v>
      </c>
    </row>
    <row r="717" spans="1:10" x14ac:dyDescent="0.25">
      <c r="A717" s="2">
        <v>586</v>
      </c>
      <c r="B717" s="24" t="s">
        <v>9</v>
      </c>
      <c r="C717" t="s">
        <v>1408</v>
      </c>
      <c r="D717" s="6">
        <v>46027</v>
      </c>
      <c r="E717" s="45" t="s">
        <v>1556</v>
      </c>
      <c r="F717" s="13">
        <v>780</v>
      </c>
      <c r="G717" s="12">
        <f t="shared" si="17"/>
        <v>0</v>
      </c>
      <c r="H717" s="50" t="s">
        <v>33</v>
      </c>
    </row>
    <row r="718" spans="1:10" x14ac:dyDescent="0.25">
      <c r="A718" s="2">
        <v>711</v>
      </c>
      <c r="B718" s="24" t="s">
        <v>9</v>
      </c>
      <c r="C718" t="s">
        <v>1408</v>
      </c>
      <c r="D718" s="6">
        <v>46027</v>
      </c>
      <c r="E718" s="45" t="s">
        <v>1557</v>
      </c>
      <c r="F718" s="13">
        <v>237.5</v>
      </c>
      <c r="G718" s="12">
        <f t="shared" si="17"/>
        <v>237.5</v>
      </c>
      <c r="H718" s="31">
        <v>46029</v>
      </c>
      <c r="J718" s="60">
        <v>2690000229</v>
      </c>
    </row>
    <row r="719" spans="1:10" x14ac:dyDescent="0.25">
      <c r="A719" s="2">
        <v>511</v>
      </c>
      <c r="B719" s="24" t="s">
        <v>9</v>
      </c>
      <c r="C719" t="s">
        <v>1355</v>
      </c>
      <c r="D719" s="6">
        <v>45953</v>
      </c>
      <c r="F719" s="13">
        <v>412</v>
      </c>
      <c r="G719" s="12">
        <f t="shared" si="17"/>
        <v>0</v>
      </c>
      <c r="H719" s="50" t="s">
        <v>33</v>
      </c>
    </row>
    <row r="720" spans="1:10" x14ac:dyDescent="0.25">
      <c r="A720" s="2">
        <v>714</v>
      </c>
      <c r="B720" s="24" t="s">
        <v>9</v>
      </c>
      <c r="C720" t="s">
        <v>1412</v>
      </c>
      <c r="D720" s="6">
        <v>46020</v>
      </c>
      <c r="F720" s="13">
        <v>4</v>
      </c>
      <c r="G720" s="12">
        <f t="shared" si="17"/>
        <v>0</v>
      </c>
    </row>
    <row r="721" spans="6:8" x14ac:dyDescent="0.25">
      <c r="F721" s="13">
        <f>SUBTOTAL(9,F38:F720)</f>
        <v>3268465.1800000011</v>
      </c>
      <c r="G721" s="13">
        <f>SUBTOTAL(109,G2:G720)</f>
        <v>2143657.7499999995</v>
      </c>
      <c r="H721" s="31"/>
    </row>
  </sheetData>
  <autoFilter ref="A1:J720" xr:uid="{00000000-0001-0000-0000-000000000000}">
    <sortState xmlns:xlrd2="http://schemas.microsoft.com/office/spreadsheetml/2017/richdata2" ref="A2:J720">
      <sortCondition ref="E1:E72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E758-3DB0-416C-A349-BE7CE189A49F}">
  <dimension ref="A1:I971"/>
  <sheetViews>
    <sheetView workbookViewId="0">
      <selection activeCell="H2" sqref="H2:H188"/>
    </sheetView>
  </sheetViews>
  <sheetFormatPr defaultRowHeight="15" x14ac:dyDescent="0.25"/>
  <cols>
    <col min="1" max="1" width="24" customWidth="1"/>
    <col min="2" max="2" width="43" customWidth="1"/>
    <col min="3" max="3" width="20.140625" style="8" customWidth="1"/>
    <col min="4" max="4" width="18.28515625" customWidth="1"/>
    <col min="5" max="5" width="10" customWidth="1"/>
    <col min="7" max="7" width="18.42578125" customWidth="1"/>
    <col min="8" max="8" width="20.42578125" customWidth="1"/>
    <col min="9" max="9" width="18.140625" style="23" customWidth="1"/>
  </cols>
  <sheetData>
    <row r="1" spans="1:9" x14ac:dyDescent="0.25">
      <c r="D1" t="s">
        <v>1555</v>
      </c>
    </row>
    <row r="2" spans="1:9" x14ac:dyDescent="0.25">
      <c r="A2" s="16" t="s">
        <v>1414</v>
      </c>
      <c r="B2" s="16" t="s">
        <v>1415</v>
      </c>
      <c r="C2" s="18">
        <v>46019</v>
      </c>
      <c r="D2" s="20">
        <v>2735</v>
      </c>
      <c r="E2" s="16" t="s">
        <v>1202</v>
      </c>
      <c r="F2" s="17"/>
      <c r="G2" s="16" t="s">
        <v>1416</v>
      </c>
      <c r="H2" s="14"/>
    </row>
    <row r="3" spans="1:9" x14ac:dyDescent="0.25">
      <c r="A3" s="16" t="s">
        <v>1417</v>
      </c>
      <c r="B3" s="16" t="s">
        <v>1418</v>
      </c>
      <c r="C3" s="18">
        <v>46016</v>
      </c>
      <c r="D3" s="19">
        <v>830</v>
      </c>
      <c r="E3" s="16" t="s">
        <v>1202</v>
      </c>
      <c r="F3" s="17"/>
      <c r="G3" s="16" t="s">
        <v>1419</v>
      </c>
      <c r="H3" s="14" t="s">
        <v>1644</v>
      </c>
      <c r="I3" s="23">
        <v>46028</v>
      </c>
    </row>
    <row r="4" spans="1:9" x14ac:dyDescent="0.25">
      <c r="A4" s="16" t="s">
        <v>1482</v>
      </c>
      <c r="B4" s="16" t="s">
        <v>1397</v>
      </c>
      <c r="C4" s="18">
        <v>46000</v>
      </c>
      <c r="D4" s="19">
        <v>820</v>
      </c>
      <c r="E4" s="16" t="s">
        <v>1202</v>
      </c>
      <c r="F4" s="17"/>
      <c r="G4" s="16" t="s">
        <v>1483</v>
      </c>
      <c r="H4" s="14" t="s">
        <v>1645</v>
      </c>
      <c r="I4" s="23">
        <v>46019</v>
      </c>
    </row>
    <row r="5" spans="1:9" x14ac:dyDescent="0.25">
      <c r="A5" s="16" t="s">
        <v>1484</v>
      </c>
      <c r="B5" s="16" t="s">
        <v>1235</v>
      </c>
      <c r="C5" s="18">
        <v>45999</v>
      </c>
      <c r="D5" s="19">
        <v>174</v>
      </c>
      <c r="E5" s="16" t="s">
        <v>1202</v>
      </c>
      <c r="F5" s="17"/>
      <c r="G5" s="16" t="s">
        <v>1485</v>
      </c>
      <c r="H5" s="14"/>
    </row>
    <row r="6" spans="1:9" x14ac:dyDescent="0.25">
      <c r="A6" s="16" t="s">
        <v>1431</v>
      </c>
      <c r="B6" s="16" t="s">
        <v>1432</v>
      </c>
      <c r="C6" s="18">
        <v>46013</v>
      </c>
      <c r="D6" s="19">
        <v>200</v>
      </c>
      <c r="E6" s="16" t="s">
        <v>1202</v>
      </c>
      <c r="F6" s="17"/>
      <c r="G6" s="16" t="s">
        <v>1433</v>
      </c>
      <c r="H6" s="14" t="s">
        <v>1646</v>
      </c>
      <c r="I6" s="23">
        <v>46015</v>
      </c>
    </row>
    <row r="7" spans="1:9" x14ac:dyDescent="0.25">
      <c r="A7" s="16" t="s">
        <v>1443</v>
      </c>
      <c r="B7" s="16" t="s">
        <v>1444</v>
      </c>
      <c r="C7" s="18">
        <v>46008</v>
      </c>
      <c r="D7" s="21">
        <v>7500</v>
      </c>
      <c r="E7" s="16" t="s">
        <v>1202</v>
      </c>
      <c r="F7" s="17"/>
      <c r="G7" s="16" t="s">
        <v>1445</v>
      </c>
      <c r="H7" s="14"/>
    </row>
    <row r="8" spans="1:9" x14ac:dyDescent="0.25">
      <c r="A8" s="16" t="s">
        <v>1423</v>
      </c>
      <c r="B8" s="16" t="s">
        <v>1424</v>
      </c>
      <c r="C8" s="18">
        <v>46015</v>
      </c>
      <c r="D8" s="21">
        <v>1400</v>
      </c>
      <c r="E8" s="16" t="s">
        <v>1202</v>
      </c>
      <c r="F8" s="17"/>
      <c r="G8" s="16" t="s">
        <v>1425</v>
      </c>
      <c r="H8" s="14"/>
    </row>
    <row r="9" spans="1:9" x14ac:dyDescent="0.25">
      <c r="A9" s="16" t="s">
        <v>1459</v>
      </c>
      <c r="B9" s="16" t="s">
        <v>1424</v>
      </c>
      <c r="C9" s="18">
        <v>46003</v>
      </c>
      <c r="D9" s="16"/>
      <c r="E9" s="16" t="s">
        <v>1202</v>
      </c>
      <c r="F9" s="17"/>
      <c r="G9" s="16" t="s">
        <v>1425</v>
      </c>
      <c r="H9" s="14"/>
    </row>
    <row r="10" spans="1:9" x14ac:dyDescent="0.25">
      <c r="A10" s="16" t="s">
        <v>1474</v>
      </c>
      <c r="B10" s="16" t="s">
        <v>1407</v>
      </c>
      <c r="C10" s="18">
        <v>46001</v>
      </c>
      <c r="D10" s="19">
        <v>170</v>
      </c>
      <c r="E10" s="16" t="s">
        <v>1202</v>
      </c>
      <c r="F10" s="17"/>
      <c r="G10" s="16" t="s">
        <v>1475</v>
      </c>
      <c r="H10" s="14"/>
    </row>
    <row r="11" spans="1:9" x14ac:dyDescent="0.25">
      <c r="A11" s="16" t="s">
        <v>1446</v>
      </c>
      <c r="B11" s="16" t="s">
        <v>1392</v>
      </c>
      <c r="C11" s="18">
        <v>46008</v>
      </c>
      <c r="D11" s="21">
        <v>5380</v>
      </c>
      <c r="E11" s="16" t="s">
        <v>1202</v>
      </c>
      <c r="F11" s="17"/>
      <c r="G11" s="16" t="s">
        <v>1447</v>
      </c>
      <c r="H11" s="14"/>
    </row>
    <row r="12" spans="1:9" x14ac:dyDescent="0.25">
      <c r="A12" s="16" t="s">
        <v>1469</v>
      </c>
      <c r="B12" s="16" t="s">
        <v>1470</v>
      </c>
      <c r="C12" s="18">
        <v>46001</v>
      </c>
      <c r="D12" s="19">
        <v>567.9</v>
      </c>
      <c r="E12" s="16" t="s">
        <v>1202</v>
      </c>
      <c r="F12" s="17"/>
      <c r="G12" s="16" t="s">
        <v>1471</v>
      </c>
      <c r="H12" s="14" t="s">
        <v>1647</v>
      </c>
      <c r="I12" s="23">
        <v>46009</v>
      </c>
    </row>
    <row r="13" spans="1:9" x14ac:dyDescent="0.25">
      <c r="A13" s="16" t="s">
        <v>1448</v>
      </c>
      <c r="B13" s="16" t="s">
        <v>1449</v>
      </c>
      <c r="C13" s="18">
        <v>46006</v>
      </c>
      <c r="D13" s="21">
        <v>1500</v>
      </c>
      <c r="E13" s="16" t="s">
        <v>1202</v>
      </c>
      <c r="F13" s="17"/>
      <c r="G13" s="16" t="s">
        <v>1450</v>
      </c>
      <c r="H13" s="14" t="s">
        <v>1648</v>
      </c>
      <c r="I13" s="23">
        <v>46008</v>
      </c>
    </row>
    <row r="14" spans="1:9" x14ac:dyDescent="0.25">
      <c r="A14" s="16" t="s">
        <v>1451</v>
      </c>
      <c r="B14" s="16" t="s">
        <v>1385</v>
      </c>
      <c r="C14" s="18">
        <v>46003</v>
      </c>
      <c r="D14" s="19">
        <v>806</v>
      </c>
      <c r="E14" s="16" t="s">
        <v>1202</v>
      </c>
      <c r="F14" s="17"/>
      <c r="G14" s="16" t="s">
        <v>1452</v>
      </c>
      <c r="H14" s="14" t="s">
        <v>1649</v>
      </c>
      <c r="I14" s="23">
        <v>46017</v>
      </c>
    </row>
    <row r="15" spans="1:9" x14ac:dyDescent="0.25">
      <c r="A15" s="16" t="s">
        <v>1453</v>
      </c>
      <c r="B15" s="16" t="s">
        <v>1454</v>
      </c>
      <c r="C15" s="18">
        <v>46003</v>
      </c>
      <c r="D15" s="19">
        <v>360</v>
      </c>
      <c r="E15" s="16" t="s">
        <v>1202</v>
      </c>
      <c r="F15" s="17"/>
      <c r="G15" s="16" t="s">
        <v>1455</v>
      </c>
      <c r="H15" s="14" t="s">
        <v>1650</v>
      </c>
      <c r="I15" s="23">
        <v>46008</v>
      </c>
    </row>
    <row r="16" spans="1:9" x14ac:dyDescent="0.25">
      <c r="A16" s="16" t="s">
        <v>1466</v>
      </c>
      <c r="B16" s="16" t="s">
        <v>1467</v>
      </c>
      <c r="C16" s="18">
        <v>46001</v>
      </c>
      <c r="D16" s="19">
        <v>392</v>
      </c>
      <c r="E16" s="16" t="s">
        <v>1202</v>
      </c>
      <c r="F16" s="17"/>
      <c r="G16" s="16" t="s">
        <v>1468</v>
      </c>
      <c r="H16" s="14" t="s">
        <v>1651</v>
      </c>
      <c r="I16" s="23">
        <v>46008</v>
      </c>
    </row>
    <row r="17" spans="1:9" x14ac:dyDescent="0.25">
      <c r="A17" s="16" t="s">
        <v>1462</v>
      </c>
      <c r="B17" s="16" t="s">
        <v>1386</v>
      </c>
      <c r="C17" s="18">
        <v>46003</v>
      </c>
      <c r="D17" s="20">
        <v>7460</v>
      </c>
      <c r="E17" s="16" t="s">
        <v>1202</v>
      </c>
      <c r="F17" s="17"/>
      <c r="G17" s="16" t="s">
        <v>1463</v>
      </c>
      <c r="H17" s="14" t="s">
        <v>1652</v>
      </c>
      <c r="I17" s="23">
        <v>46015</v>
      </c>
    </row>
    <row r="18" spans="1:9" x14ac:dyDescent="0.25">
      <c r="A18" s="16" t="s">
        <v>1460</v>
      </c>
      <c r="B18" s="16" t="s">
        <v>1393</v>
      </c>
      <c r="C18" s="18">
        <v>46003</v>
      </c>
      <c r="D18" s="19">
        <v>202</v>
      </c>
      <c r="E18" s="16" t="s">
        <v>1202</v>
      </c>
      <c r="F18" s="17"/>
      <c r="G18" s="16" t="s">
        <v>1461</v>
      </c>
      <c r="H18" s="14"/>
    </row>
    <row r="19" spans="1:9" x14ac:dyDescent="0.25">
      <c r="A19" s="16" t="s">
        <v>1476</v>
      </c>
      <c r="B19" s="16" t="s">
        <v>1477</v>
      </c>
      <c r="C19" s="18">
        <v>46001</v>
      </c>
      <c r="D19" s="20">
        <v>1075</v>
      </c>
      <c r="E19" s="16" t="s">
        <v>1202</v>
      </c>
      <c r="F19" s="17"/>
      <c r="G19" s="16" t="s">
        <v>1478</v>
      </c>
      <c r="H19" s="14"/>
    </row>
    <row r="20" spans="1:9" x14ac:dyDescent="0.25">
      <c r="A20" s="16" t="s">
        <v>1496</v>
      </c>
      <c r="B20" s="16" t="s">
        <v>1386</v>
      </c>
      <c r="C20" s="18">
        <v>45989</v>
      </c>
      <c r="D20" s="20">
        <v>29840</v>
      </c>
      <c r="E20" s="16" t="s">
        <v>1202</v>
      </c>
      <c r="F20" s="17"/>
      <c r="G20" s="16" t="s">
        <v>1497</v>
      </c>
      <c r="H20" s="14"/>
    </row>
    <row r="21" spans="1:9" x14ac:dyDescent="0.25">
      <c r="A21" s="16" t="s">
        <v>1498</v>
      </c>
      <c r="B21" s="16" t="s">
        <v>1499</v>
      </c>
      <c r="C21" s="18">
        <v>45986</v>
      </c>
      <c r="D21" s="20">
        <v>3878.2</v>
      </c>
      <c r="E21" s="16" t="s">
        <v>1202</v>
      </c>
      <c r="F21" s="17"/>
      <c r="G21" s="16" t="s">
        <v>1500</v>
      </c>
      <c r="H21" s="14"/>
    </row>
    <row r="22" spans="1:9" x14ac:dyDescent="0.25">
      <c r="A22" s="16" t="s">
        <v>1493</v>
      </c>
      <c r="B22" s="16" t="s">
        <v>1494</v>
      </c>
      <c r="C22" s="18">
        <v>45989</v>
      </c>
      <c r="D22" s="19">
        <v>236.25</v>
      </c>
      <c r="E22" s="16" t="s">
        <v>1202</v>
      </c>
      <c r="F22" s="17"/>
      <c r="G22" s="16" t="s">
        <v>1495</v>
      </c>
      <c r="H22" s="14" t="s">
        <v>1653</v>
      </c>
      <c r="I22" s="23">
        <v>45850</v>
      </c>
    </row>
    <row r="23" spans="1:9" x14ac:dyDescent="0.25">
      <c r="A23" s="16" t="s">
        <v>1514</v>
      </c>
      <c r="B23" s="16" t="s">
        <v>1515</v>
      </c>
      <c r="C23" s="18">
        <v>45985</v>
      </c>
      <c r="D23" s="19">
        <v>247.5</v>
      </c>
      <c r="E23" s="16" t="s">
        <v>1202</v>
      </c>
      <c r="F23" s="17"/>
      <c r="G23" s="16" t="s">
        <v>1516</v>
      </c>
      <c r="H23" s="14" t="s">
        <v>1654</v>
      </c>
      <c r="I23" s="23">
        <v>45999</v>
      </c>
    </row>
    <row r="24" spans="1:9" x14ac:dyDescent="0.25">
      <c r="A24" s="16" t="s">
        <v>1510</v>
      </c>
      <c r="B24" s="16" t="s">
        <v>1392</v>
      </c>
      <c r="C24" s="18">
        <v>45986</v>
      </c>
      <c r="D24" s="20">
        <v>37630</v>
      </c>
      <c r="E24" s="16" t="s">
        <v>1202</v>
      </c>
      <c r="F24" s="17"/>
      <c r="G24" s="16" t="s">
        <v>1511</v>
      </c>
      <c r="H24" s="14" t="s">
        <v>1655</v>
      </c>
      <c r="I24" s="23">
        <v>46003</v>
      </c>
    </row>
    <row r="25" spans="1:9" x14ac:dyDescent="0.25">
      <c r="A25" s="16" t="s">
        <v>1263</v>
      </c>
      <c r="B25" s="16" t="s">
        <v>1264</v>
      </c>
      <c r="C25" s="18">
        <v>45966</v>
      </c>
      <c r="D25" s="19">
        <v>488.09</v>
      </c>
      <c r="E25" s="16" t="s">
        <v>1202</v>
      </c>
      <c r="F25" s="17"/>
      <c r="G25" s="16" t="s">
        <v>1553</v>
      </c>
      <c r="H25" s="14" t="s">
        <v>1656</v>
      </c>
      <c r="I25" s="23">
        <v>45998</v>
      </c>
    </row>
    <row r="26" spans="1:9" x14ac:dyDescent="0.25">
      <c r="A26" s="16" t="s">
        <v>1504</v>
      </c>
      <c r="B26" s="16" t="s">
        <v>1505</v>
      </c>
      <c r="C26" s="18">
        <v>45986</v>
      </c>
      <c r="D26" s="20">
        <v>48000</v>
      </c>
      <c r="E26" s="16" t="s">
        <v>1202</v>
      </c>
      <c r="F26" s="17"/>
      <c r="G26" s="16" t="s">
        <v>1506</v>
      </c>
      <c r="H26" s="14" t="s">
        <v>1657</v>
      </c>
      <c r="I26" s="23">
        <v>45995</v>
      </c>
    </row>
    <row r="27" spans="1:9" x14ac:dyDescent="0.25">
      <c r="A27" s="16" t="s">
        <v>1523</v>
      </c>
      <c r="B27" s="16" t="s">
        <v>1395</v>
      </c>
      <c r="C27" s="18">
        <v>45984</v>
      </c>
      <c r="D27" s="19">
        <v>165</v>
      </c>
      <c r="E27" s="16" t="s">
        <v>1202</v>
      </c>
      <c r="F27" s="17"/>
      <c r="G27" s="16" t="s">
        <v>1524</v>
      </c>
      <c r="H27" s="14" t="s">
        <v>1658</v>
      </c>
      <c r="I27" s="23">
        <v>45987</v>
      </c>
    </row>
    <row r="28" spans="1:9" x14ac:dyDescent="0.25">
      <c r="A28" s="16" t="s">
        <v>1542</v>
      </c>
      <c r="B28" s="16" t="s">
        <v>1543</v>
      </c>
      <c r="C28" s="18">
        <v>45978</v>
      </c>
      <c r="D28" s="20">
        <v>1555</v>
      </c>
      <c r="E28" s="16" t="s">
        <v>1202</v>
      </c>
      <c r="F28" s="17"/>
      <c r="G28" s="16" t="s">
        <v>1544</v>
      </c>
      <c r="H28" s="14"/>
    </row>
    <row r="29" spans="1:9" x14ac:dyDescent="0.25">
      <c r="A29" s="16" t="s">
        <v>1533</v>
      </c>
      <c r="B29" s="16" t="s">
        <v>1534</v>
      </c>
      <c r="C29" s="18">
        <v>45979</v>
      </c>
      <c r="D29" s="19">
        <v>84</v>
      </c>
      <c r="E29" s="16" t="s">
        <v>1202</v>
      </c>
      <c r="F29" s="17"/>
      <c r="G29" s="16" t="s">
        <v>1535</v>
      </c>
      <c r="H29" s="14" t="s">
        <v>1659</v>
      </c>
      <c r="I29" s="23">
        <v>45981</v>
      </c>
    </row>
    <row r="30" spans="1:9" x14ac:dyDescent="0.25">
      <c r="A30" s="16" t="s">
        <v>1548</v>
      </c>
      <c r="B30" s="16" t="s">
        <v>1549</v>
      </c>
      <c r="C30" s="18">
        <v>45977</v>
      </c>
      <c r="D30" s="20">
        <v>44875</v>
      </c>
      <c r="E30" s="16" t="s">
        <v>1202</v>
      </c>
      <c r="F30" s="17"/>
      <c r="G30" s="16" t="s">
        <v>1550</v>
      </c>
      <c r="H30" s="14"/>
    </row>
    <row r="31" spans="1:9" x14ac:dyDescent="0.25">
      <c r="A31" s="16" t="s">
        <v>1298</v>
      </c>
      <c r="B31" s="16" t="s">
        <v>1299</v>
      </c>
      <c r="C31" s="18">
        <v>45959</v>
      </c>
      <c r="D31" s="19">
        <v>180</v>
      </c>
      <c r="E31" s="16" t="s">
        <v>1202</v>
      </c>
      <c r="F31" s="17"/>
      <c r="G31" s="16" t="s">
        <v>1554</v>
      </c>
      <c r="H31" s="14" t="s">
        <v>1660</v>
      </c>
      <c r="I31" s="23">
        <v>46003</v>
      </c>
    </row>
    <row r="32" spans="1:9" x14ac:dyDescent="0.25">
      <c r="A32" s="16" t="s">
        <v>1200</v>
      </c>
      <c r="B32" s="16" t="s">
        <v>1201</v>
      </c>
      <c r="C32" s="18">
        <v>45975</v>
      </c>
      <c r="D32" s="20">
        <v>1968</v>
      </c>
      <c r="E32" s="16" t="s">
        <v>1202</v>
      </c>
      <c r="F32" s="17"/>
      <c r="G32" s="16" t="s">
        <v>1551</v>
      </c>
      <c r="H32" s="14" t="s">
        <v>1661</v>
      </c>
      <c r="I32" s="23">
        <v>45980</v>
      </c>
    </row>
    <row r="33" spans="1:9" x14ac:dyDescent="0.25">
      <c r="A33" s="16" t="s">
        <v>1206</v>
      </c>
      <c r="B33" s="16" t="s">
        <v>1207</v>
      </c>
      <c r="C33" s="18">
        <v>45974</v>
      </c>
      <c r="D33" s="20">
        <v>2316.1999999999998</v>
      </c>
      <c r="E33" s="16" t="s">
        <v>1202</v>
      </c>
      <c r="F33" s="17"/>
      <c r="G33" s="16" t="s">
        <v>1552</v>
      </c>
      <c r="H33" s="14" t="s">
        <v>1662</v>
      </c>
      <c r="I33" s="23">
        <v>45987</v>
      </c>
    </row>
    <row r="34" spans="1:9" x14ac:dyDescent="0.25">
      <c r="A34" s="16" t="s">
        <v>1222</v>
      </c>
      <c r="B34" s="16" t="s">
        <v>1223</v>
      </c>
      <c r="C34" s="18">
        <v>45972</v>
      </c>
      <c r="D34" s="19">
        <v>42</v>
      </c>
      <c r="E34" s="16" t="s">
        <v>1202</v>
      </c>
      <c r="F34" s="17"/>
      <c r="G34" s="16" t="s">
        <v>1224</v>
      </c>
      <c r="H34" s="14" t="s">
        <v>1663</v>
      </c>
      <c r="I34" s="23">
        <v>46028</v>
      </c>
    </row>
    <row r="35" spans="1:9" x14ac:dyDescent="0.25">
      <c r="A35" s="16" t="s">
        <v>1219</v>
      </c>
      <c r="B35" s="16" t="s">
        <v>1220</v>
      </c>
      <c r="C35" s="18">
        <v>45972</v>
      </c>
      <c r="D35" s="20">
        <v>1320</v>
      </c>
      <c r="E35" s="16" t="s">
        <v>1202</v>
      </c>
      <c r="F35" s="17"/>
      <c r="G35" s="16" t="s">
        <v>1221</v>
      </c>
      <c r="H35" s="14" t="s">
        <v>1664</v>
      </c>
      <c r="I35" s="23">
        <v>45986</v>
      </c>
    </row>
    <row r="36" spans="1:9" x14ac:dyDescent="0.25">
      <c r="A36" s="16" t="s">
        <v>1231</v>
      </c>
      <c r="B36" s="16" t="s">
        <v>1232</v>
      </c>
      <c r="C36" s="18">
        <v>45972</v>
      </c>
      <c r="D36" s="20">
        <v>3292.5</v>
      </c>
      <c r="E36" s="16" t="s">
        <v>1202</v>
      </c>
      <c r="F36" s="17"/>
      <c r="G36" s="16" t="s">
        <v>1233</v>
      </c>
      <c r="H36" s="14" t="s">
        <v>1665</v>
      </c>
      <c r="I36" s="23">
        <v>45977</v>
      </c>
    </row>
    <row r="37" spans="1:9" x14ac:dyDescent="0.25">
      <c r="A37" s="16" t="s">
        <v>1274</v>
      </c>
      <c r="B37" s="16" t="s">
        <v>1275</v>
      </c>
      <c r="C37" s="18">
        <v>45965</v>
      </c>
      <c r="D37" s="19">
        <v>42</v>
      </c>
      <c r="E37" s="16" t="s">
        <v>1202</v>
      </c>
      <c r="F37" s="17"/>
      <c r="G37" s="16" t="s">
        <v>1276</v>
      </c>
      <c r="H37" s="14" t="s">
        <v>1666</v>
      </c>
      <c r="I37" s="23">
        <v>45987</v>
      </c>
    </row>
    <row r="38" spans="1:9" x14ac:dyDescent="0.25">
      <c r="A38" s="16" t="s">
        <v>1260</v>
      </c>
      <c r="B38" s="16" t="s">
        <v>1261</v>
      </c>
      <c r="C38" s="18">
        <v>45966</v>
      </c>
      <c r="D38" s="19">
        <v>240</v>
      </c>
      <c r="E38" s="16" t="s">
        <v>1202</v>
      </c>
      <c r="F38" s="17"/>
      <c r="G38" s="16" t="s">
        <v>1262</v>
      </c>
      <c r="H38" s="14" t="s">
        <v>1667</v>
      </c>
      <c r="I38" s="23">
        <v>45977</v>
      </c>
    </row>
    <row r="39" spans="1:9" x14ac:dyDescent="0.25">
      <c r="A39" s="16" t="s">
        <v>1245</v>
      </c>
      <c r="B39" s="16" t="s">
        <v>1246</v>
      </c>
      <c r="C39" s="18">
        <v>45968</v>
      </c>
      <c r="D39" s="19">
        <v>375</v>
      </c>
      <c r="E39" s="16" t="s">
        <v>1202</v>
      </c>
      <c r="F39" s="17"/>
      <c r="G39" s="16" t="s">
        <v>1247</v>
      </c>
      <c r="H39" s="14" t="s">
        <v>1668</v>
      </c>
      <c r="I39" s="23">
        <v>45974</v>
      </c>
    </row>
    <row r="40" spans="1:9" x14ac:dyDescent="0.25">
      <c r="A40" s="16" t="s">
        <v>1268</v>
      </c>
      <c r="B40" s="16" t="s">
        <v>1269</v>
      </c>
      <c r="C40" s="18">
        <v>45966</v>
      </c>
      <c r="D40" s="19">
        <v>520</v>
      </c>
      <c r="E40" s="16" t="s">
        <v>1202</v>
      </c>
      <c r="F40" s="17"/>
      <c r="G40" s="16" t="s">
        <v>1270</v>
      </c>
      <c r="H40" s="14" t="s">
        <v>1669</v>
      </c>
      <c r="I40" s="23">
        <v>45982</v>
      </c>
    </row>
    <row r="41" spans="1:9" x14ac:dyDescent="0.25">
      <c r="A41" s="16" t="s">
        <v>1239</v>
      </c>
      <c r="B41" s="16" t="s">
        <v>1240</v>
      </c>
      <c r="C41" s="18">
        <v>45970</v>
      </c>
      <c r="D41" s="19">
        <v>96.5</v>
      </c>
      <c r="E41" s="16" t="s">
        <v>1202</v>
      </c>
      <c r="F41" s="17"/>
      <c r="G41" s="16" t="s">
        <v>1241</v>
      </c>
      <c r="H41" s="14"/>
    </row>
    <row r="42" spans="1:9" x14ac:dyDescent="0.25">
      <c r="A42" s="16" t="s">
        <v>1242</v>
      </c>
      <c r="B42" s="16" t="s">
        <v>1243</v>
      </c>
      <c r="C42" s="18">
        <v>45968</v>
      </c>
      <c r="D42" s="20">
        <v>6213</v>
      </c>
      <c r="E42" s="16" t="s">
        <v>1202</v>
      </c>
      <c r="F42" s="17"/>
      <c r="G42" s="16" t="s">
        <v>1244</v>
      </c>
      <c r="H42" s="14" t="s">
        <v>1670</v>
      </c>
      <c r="I42" s="23">
        <v>45998</v>
      </c>
    </row>
    <row r="43" spans="1:9" x14ac:dyDescent="0.25">
      <c r="A43" s="16" t="s">
        <v>1257</v>
      </c>
      <c r="B43" s="16" t="s">
        <v>1258</v>
      </c>
      <c r="C43" s="18">
        <v>45966</v>
      </c>
      <c r="D43" s="20">
        <v>2315</v>
      </c>
      <c r="E43" s="16" t="s">
        <v>1202</v>
      </c>
      <c r="F43" s="17"/>
      <c r="G43" s="16" t="s">
        <v>1259</v>
      </c>
      <c r="H43" s="14" t="s">
        <v>1671</v>
      </c>
      <c r="I43" s="23">
        <v>45974</v>
      </c>
    </row>
    <row r="44" spans="1:9" x14ac:dyDescent="0.25">
      <c r="A44" s="16" t="s">
        <v>1265</v>
      </c>
      <c r="B44" s="16" t="s">
        <v>1266</v>
      </c>
      <c r="C44" s="18">
        <v>45966</v>
      </c>
      <c r="D44" s="19">
        <v>375</v>
      </c>
      <c r="E44" s="16" t="s">
        <v>1202</v>
      </c>
      <c r="F44" s="17"/>
      <c r="G44" s="16" t="s">
        <v>1267</v>
      </c>
      <c r="H44" s="14" t="s">
        <v>1672</v>
      </c>
      <c r="I44" s="23">
        <v>45974</v>
      </c>
    </row>
    <row r="45" spans="1:9" x14ac:dyDescent="0.25">
      <c r="A45" s="16" t="s">
        <v>1327</v>
      </c>
      <c r="B45" s="16" t="s">
        <v>1328</v>
      </c>
      <c r="C45" s="18">
        <v>45954</v>
      </c>
      <c r="D45" s="19">
        <v>240</v>
      </c>
      <c r="E45" s="16" t="s">
        <v>1202</v>
      </c>
      <c r="F45" s="17"/>
      <c r="G45" s="16" t="s">
        <v>1329</v>
      </c>
      <c r="H45" s="14" t="s">
        <v>1673</v>
      </c>
      <c r="I45" s="23">
        <v>45970</v>
      </c>
    </row>
    <row r="46" spans="1:9" x14ac:dyDescent="0.25">
      <c r="A46" s="16" t="s">
        <v>1280</v>
      </c>
      <c r="B46" s="16" t="s">
        <v>1281</v>
      </c>
      <c r="C46" s="18">
        <v>45964</v>
      </c>
      <c r="D46" s="19">
        <v>680</v>
      </c>
      <c r="E46" s="16" t="s">
        <v>1202</v>
      </c>
      <c r="F46" s="17"/>
      <c r="G46" s="16" t="s">
        <v>1282</v>
      </c>
      <c r="H46" s="14" t="s">
        <v>1674</v>
      </c>
      <c r="I46" s="23">
        <v>45968</v>
      </c>
    </row>
    <row r="47" spans="1:9" x14ac:dyDescent="0.25">
      <c r="A47" s="16" t="s">
        <v>1318</v>
      </c>
      <c r="B47" s="16" t="s">
        <v>1319</v>
      </c>
      <c r="C47" s="18">
        <v>45956</v>
      </c>
      <c r="D47" s="19">
        <v>126</v>
      </c>
      <c r="E47" s="16" t="s">
        <v>1202</v>
      </c>
      <c r="F47" s="17"/>
      <c r="G47" s="16" t="s">
        <v>1320</v>
      </c>
      <c r="H47" s="14" t="s">
        <v>1675</v>
      </c>
      <c r="I47" s="23">
        <v>45965</v>
      </c>
    </row>
    <row r="48" spans="1:9" x14ac:dyDescent="0.25">
      <c r="A48" s="16" t="s">
        <v>1300</v>
      </c>
      <c r="B48" s="16" t="s">
        <v>1301</v>
      </c>
      <c r="C48" s="18">
        <v>45959</v>
      </c>
      <c r="D48" s="19">
        <v>625</v>
      </c>
      <c r="E48" s="16" t="s">
        <v>1202</v>
      </c>
      <c r="F48" s="17"/>
      <c r="G48" s="16" t="s">
        <v>1302</v>
      </c>
      <c r="H48" s="14" t="s">
        <v>1676</v>
      </c>
      <c r="I48" s="23">
        <v>46017</v>
      </c>
    </row>
    <row r="49" spans="1:9" x14ac:dyDescent="0.25">
      <c r="A49" s="16" t="s">
        <v>1306</v>
      </c>
      <c r="B49" s="16" t="s">
        <v>1235</v>
      </c>
      <c r="C49" s="18">
        <v>45958</v>
      </c>
      <c r="D49" s="19">
        <v>174</v>
      </c>
      <c r="E49" s="16" t="s">
        <v>1202</v>
      </c>
      <c r="F49" s="17"/>
      <c r="G49" s="16" t="s">
        <v>1307</v>
      </c>
      <c r="H49" s="14" t="s">
        <v>1677</v>
      </c>
      <c r="I49" s="23">
        <v>45974</v>
      </c>
    </row>
    <row r="50" spans="1:9" x14ac:dyDescent="0.25">
      <c r="A50" s="16" t="s">
        <v>1191</v>
      </c>
      <c r="B50" s="16" t="s">
        <v>1350</v>
      </c>
      <c r="C50" s="18">
        <v>45953</v>
      </c>
      <c r="D50" s="20">
        <v>2850</v>
      </c>
      <c r="E50" s="16" t="s">
        <v>1202</v>
      </c>
      <c r="F50" s="17"/>
      <c r="G50" s="16" t="s">
        <v>1351</v>
      </c>
      <c r="H50" s="14" t="s">
        <v>1678</v>
      </c>
      <c r="I50" s="23">
        <v>45960</v>
      </c>
    </row>
    <row r="51" spans="1:9" x14ac:dyDescent="0.25">
      <c r="A51" s="16" t="s">
        <v>1347</v>
      </c>
      <c r="B51" s="16" t="s">
        <v>1348</v>
      </c>
      <c r="C51" s="18">
        <v>45954</v>
      </c>
      <c r="D51" s="20">
        <v>32940</v>
      </c>
      <c r="E51" s="16" t="s">
        <v>1202</v>
      </c>
      <c r="F51" s="17"/>
      <c r="G51" s="16" t="s">
        <v>1349</v>
      </c>
      <c r="H51" s="14"/>
    </row>
    <row r="52" spans="1:9" x14ac:dyDescent="0.25">
      <c r="A52" s="16" t="s">
        <v>1341</v>
      </c>
      <c r="B52" s="16" t="s">
        <v>1342</v>
      </c>
      <c r="C52" s="18">
        <v>45954</v>
      </c>
      <c r="D52" s="20">
        <v>482878.68</v>
      </c>
      <c r="E52" s="16" t="s">
        <v>1202</v>
      </c>
      <c r="F52" s="17"/>
      <c r="G52" s="16" t="s">
        <v>1343</v>
      </c>
      <c r="H52" s="14"/>
    </row>
    <row r="53" spans="1:9" x14ac:dyDescent="0.25">
      <c r="A53" s="16" t="s">
        <v>1344</v>
      </c>
      <c r="B53" s="16" t="s">
        <v>1345</v>
      </c>
      <c r="C53" s="18">
        <v>45954</v>
      </c>
      <c r="D53" s="19">
        <v>570</v>
      </c>
      <c r="E53" s="16" t="s">
        <v>1202</v>
      </c>
      <c r="F53" s="17"/>
      <c r="G53" s="16" t="s">
        <v>1346</v>
      </c>
      <c r="H53" s="14" t="s">
        <v>1679</v>
      </c>
      <c r="I53" s="23">
        <v>45960</v>
      </c>
    </row>
    <row r="54" spans="1:9" x14ac:dyDescent="0.25">
      <c r="A54" s="16" t="s">
        <v>1193</v>
      </c>
      <c r="B54" s="16" t="s">
        <v>1360</v>
      </c>
      <c r="C54" s="18">
        <v>45951</v>
      </c>
      <c r="D54" s="20">
        <v>1026</v>
      </c>
      <c r="E54" s="16" t="s">
        <v>1202</v>
      </c>
      <c r="F54" s="17"/>
      <c r="G54" s="16" t="s">
        <v>1361</v>
      </c>
      <c r="H54" s="14" t="s">
        <v>1680</v>
      </c>
      <c r="I54" s="23">
        <v>45960</v>
      </c>
    </row>
    <row r="55" spans="1:9" x14ac:dyDescent="0.25">
      <c r="A55" s="16" t="s">
        <v>1192</v>
      </c>
      <c r="B55" s="16" t="s">
        <v>1356</v>
      </c>
      <c r="C55" s="18">
        <v>45952</v>
      </c>
      <c r="D55" s="19">
        <v>600</v>
      </c>
      <c r="E55" s="16" t="s">
        <v>1202</v>
      </c>
      <c r="F55" s="17"/>
      <c r="G55" s="16" t="s">
        <v>1357</v>
      </c>
      <c r="H55" s="14"/>
    </row>
    <row r="56" spans="1:9" x14ac:dyDescent="0.25">
      <c r="A56" s="16" t="s">
        <v>1194</v>
      </c>
      <c r="B56" s="16" t="s">
        <v>1362</v>
      </c>
      <c r="C56" s="18">
        <v>45950</v>
      </c>
      <c r="D56" s="19">
        <v>470</v>
      </c>
      <c r="E56" s="16" t="s">
        <v>1202</v>
      </c>
      <c r="F56" s="17"/>
      <c r="G56" s="16" t="s">
        <v>1363</v>
      </c>
      <c r="H56" s="14" t="s">
        <v>1681</v>
      </c>
      <c r="I56" s="23">
        <v>45956</v>
      </c>
    </row>
    <row r="57" spans="1:9" x14ac:dyDescent="0.25">
      <c r="A57" s="16" t="s">
        <v>1195</v>
      </c>
      <c r="B57" s="16" t="s">
        <v>1371</v>
      </c>
      <c r="C57" s="18">
        <v>45949</v>
      </c>
      <c r="D57" s="19">
        <v>325</v>
      </c>
      <c r="E57" s="16" t="s">
        <v>1202</v>
      </c>
      <c r="F57" s="17"/>
      <c r="G57" s="16" t="s">
        <v>1372</v>
      </c>
      <c r="H57" s="14" t="s">
        <v>1682</v>
      </c>
      <c r="I57" s="23">
        <v>45954</v>
      </c>
    </row>
    <row r="58" spans="1:9" x14ac:dyDescent="0.25">
      <c r="A58" s="16" t="s">
        <v>1196</v>
      </c>
      <c r="B58" s="16" t="s">
        <v>1377</v>
      </c>
      <c r="C58" s="18">
        <v>45947</v>
      </c>
      <c r="D58" s="19">
        <v>620</v>
      </c>
      <c r="E58" s="16" t="s">
        <v>1202</v>
      </c>
      <c r="F58" s="17"/>
      <c r="G58" s="16" t="s">
        <v>1378</v>
      </c>
      <c r="H58" s="14" t="s">
        <v>1683</v>
      </c>
      <c r="I58" s="23">
        <v>45951</v>
      </c>
    </row>
    <row r="59" spans="1:9" x14ac:dyDescent="0.25">
      <c r="A59" s="16" t="s">
        <v>1197</v>
      </c>
      <c r="B59" s="16" t="s">
        <v>1379</v>
      </c>
      <c r="C59" s="18">
        <v>45946</v>
      </c>
      <c r="D59" s="20">
        <v>1335</v>
      </c>
      <c r="E59" s="16" t="s">
        <v>1202</v>
      </c>
      <c r="F59" s="17"/>
      <c r="G59" s="16" t="s">
        <v>1380</v>
      </c>
      <c r="H59" s="14" t="s">
        <v>1684</v>
      </c>
      <c r="I59" s="23">
        <v>45949</v>
      </c>
    </row>
    <row r="60" spans="1:9" x14ac:dyDescent="0.25">
      <c r="A60" s="16" t="s">
        <v>1198</v>
      </c>
      <c r="B60" s="16" t="s">
        <v>1381</v>
      </c>
      <c r="C60" s="18">
        <v>45944</v>
      </c>
      <c r="D60" s="19">
        <v>880</v>
      </c>
      <c r="E60" s="16" t="s">
        <v>1202</v>
      </c>
      <c r="F60" s="17"/>
      <c r="G60" s="16" t="s">
        <v>1382</v>
      </c>
      <c r="H60" s="14" t="s">
        <v>1685</v>
      </c>
      <c r="I60" s="23">
        <v>45954</v>
      </c>
    </row>
    <row r="61" spans="1:9" x14ac:dyDescent="0.25">
      <c r="A61" s="16" t="s">
        <v>1408</v>
      </c>
      <c r="B61" s="16" t="s">
        <v>1409</v>
      </c>
      <c r="C61" s="18">
        <v>46027</v>
      </c>
      <c r="D61" s="20">
        <v>780</v>
      </c>
      <c r="E61" s="16" t="s">
        <v>1202</v>
      </c>
      <c r="F61" s="17"/>
      <c r="G61" s="16" t="s">
        <v>1556</v>
      </c>
    </row>
    <row r="62" spans="1:9" x14ac:dyDescent="0.25">
      <c r="A62" s="16" t="s">
        <v>1408</v>
      </c>
      <c r="B62" s="16" t="s">
        <v>1409</v>
      </c>
      <c r="C62" s="18">
        <v>46027</v>
      </c>
      <c r="D62" s="20">
        <v>237.5</v>
      </c>
      <c r="E62" s="16" t="s">
        <v>1202</v>
      </c>
      <c r="F62" s="17"/>
      <c r="G62" s="16" t="s">
        <v>1557</v>
      </c>
      <c r="H62">
        <v>2690000229</v>
      </c>
      <c r="I62" s="23">
        <v>46029</v>
      </c>
    </row>
    <row r="63" spans="1:9" x14ac:dyDescent="0.25">
      <c r="A63" s="16" t="s">
        <v>1422</v>
      </c>
      <c r="B63" s="16" t="s">
        <v>1389</v>
      </c>
      <c r="C63" s="18">
        <v>46016</v>
      </c>
      <c r="D63" s="20">
        <v>3093.6</v>
      </c>
      <c r="E63" s="16" t="s">
        <v>1202</v>
      </c>
      <c r="F63" s="17"/>
      <c r="G63" s="16" t="s">
        <v>1558</v>
      </c>
      <c r="H63">
        <v>2690000185</v>
      </c>
      <c r="I63" s="23">
        <v>46028</v>
      </c>
    </row>
    <row r="64" spans="1:9" x14ac:dyDescent="0.25">
      <c r="A64" s="16" t="s">
        <v>1422</v>
      </c>
      <c r="B64" s="16" t="s">
        <v>1389</v>
      </c>
      <c r="C64" s="18">
        <v>46016</v>
      </c>
      <c r="D64" s="19">
        <v>210</v>
      </c>
      <c r="E64" s="16" t="s">
        <v>1202</v>
      </c>
      <c r="F64" s="17"/>
      <c r="G64" s="16" t="s">
        <v>1559</v>
      </c>
      <c r="H64">
        <v>2690000073</v>
      </c>
      <c r="I64" s="23">
        <v>46026</v>
      </c>
    </row>
    <row r="65" spans="1:9" x14ac:dyDescent="0.25">
      <c r="A65" s="16" t="s">
        <v>1426</v>
      </c>
      <c r="B65" s="16" t="s">
        <v>1427</v>
      </c>
      <c r="C65" s="18">
        <v>46014</v>
      </c>
      <c r="D65" s="20">
        <v>1115.5</v>
      </c>
      <c r="E65" s="16" t="s">
        <v>1202</v>
      </c>
      <c r="F65" s="17"/>
      <c r="G65" s="16" t="s">
        <v>1560</v>
      </c>
    </row>
    <row r="66" spans="1:9" x14ac:dyDescent="0.25">
      <c r="A66" s="16" t="s">
        <v>1426</v>
      </c>
      <c r="B66" s="16" t="s">
        <v>1427</v>
      </c>
      <c r="C66" s="18">
        <v>46014</v>
      </c>
      <c r="D66" s="20">
        <v>1769.2</v>
      </c>
      <c r="E66" s="16" t="s">
        <v>1202</v>
      </c>
      <c r="F66" s="17"/>
      <c r="G66" s="16" t="s">
        <v>1561</v>
      </c>
      <c r="H66">
        <v>2690000186</v>
      </c>
      <c r="I66" s="23">
        <v>46028</v>
      </c>
    </row>
    <row r="67" spans="1:9" x14ac:dyDescent="0.25">
      <c r="A67" s="16" t="s">
        <v>1426</v>
      </c>
      <c r="B67" s="16" t="s">
        <v>1427</v>
      </c>
      <c r="C67" s="18">
        <v>46014</v>
      </c>
      <c r="D67" s="20">
        <v>2465</v>
      </c>
      <c r="E67" s="16" t="s">
        <v>1202</v>
      </c>
      <c r="F67" s="17"/>
      <c r="G67" s="16" t="s">
        <v>1562</v>
      </c>
      <c r="H67">
        <v>2590018331</v>
      </c>
      <c r="I67" s="23">
        <v>46017</v>
      </c>
    </row>
    <row r="68" spans="1:9" x14ac:dyDescent="0.25">
      <c r="A68" s="16" t="s">
        <v>1426</v>
      </c>
      <c r="B68" s="16" t="s">
        <v>1427</v>
      </c>
      <c r="C68" s="18">
        <v>46014</v>
      </c>
      <c r="D68" s="19">
        <v>36</v>
      </c>
      <c r="E68" s="16" t="s">
        <v>1202</v>
      </c>
      <c r="F68" s="17"/>
      <c r="G68" s="16" t="s">
        <v>1563</v>
      </c>
      <c r="H68">
        <v>2690000074</v>
      </c>
      <c r="I68" s="23">
        <v>46026</v>
      </c>
    </row>
    <row r="69" spans="1:9" x14ac:dyDescent="0.25">
      <c r="A69" s="16" t="s">
        <v>1426</v>
      </c>
      <c r="B69" s="16" t="s">
        <v>1427</v>
      </c>
      <c r="C69" s="18">
        <v>46014</v>
      </c>
      <c r="D69" s="19">
        <v>80</v>
      </c>
      <c r="E69" s="16" t="s">
        <v>1202</v>
      </c>
      <c r="F69" s="17"/>
      <c r="G69" s="16" t="s">
        <v>1564</v>
      </c>
      <c r="H69">
        <v>2690000155</v>
      </c>
      <c r="I69" s="23">
        <v>46028</v>
      </c>
    </row>
    <row r="70" spans="1:9" x14ac:dyDescent="0.25">
      <c r="A70" s="16" t="s">
        <v>1434</v>
      </c>
      <c r="B70" s="16" t="s">
        <v>1394</v>
      </c>
      <c r="C70" s="18">
        <v>46010</v>
      </c>
      <c r="D70" s="20">
        <v>1080</v>
      </c>
      <c r="E70" s="16" t="s">
        <v>1202</v>
      </c>
      <c r="F70" s="17"/>
      <c r="G70" s="16" t="s">
        <v>1565</v>
      </c>
    </row>
    <row r="71" spans="1:9" x14ac:dyDescent="0.25">
      <c r="A71" s="16" t="s">
        <v>1434</v>
      </c>
      <c r="B71" s="16" t="s">
        <v>1394</v>
      </c>
      <c r="C71" s="18">
        <v>46010</v>
      </c>
      <c r="D71" s="20">
        <v>1535</v>
      </c>
      <c r="E71" s="16" t="s">
        <v>1202</v>
      </c>
      <c r="F71" s="17"/>
      <c r="G71" s="16" t="s">
        <v>1566</v>
      </c>
      <c r="H71">
        <v>2590018286</v>
      </c>
      <c r="I71" s="23">
        <v>46016</v>
      </c>
    </row>
    <row r="72" spans="1:9" x14ac:dyDescent="0.25">
      <c r="A72" s="16" t="s">
        <v>1434</v>
      </c>
      <c r="B72" s="16" t="s">
        <v>1394</v>
      </c>
      <c r="C72" s="18">
        <v>46010</v>
      </c>
      <c r="D72" s="19">
        <v>270</v>
      </c>
      <c r="E72" s="16" t="s">
        <v>1202</v>
      </c>
      <c r="F72" s="17"/>
      <c r="G72" s="16" t="s">
        <v>1567</v>
      </c>
      <c r="H72">
        <v>2590018306</v>
      </c>
      <c r="I72" s="23">
        <v>46017</v>
      </c>
    </row>
    <row r="73" spans="1:9" x14ac:dyDescent="0.25">
      <c r="A73" s="16" t="s">
        <v>1434</v>
      </c>
      <c r="B73" s="16" t="s">
        <v>1394</v>
      </c>
      <c r="C73" s="18">
        <v>46010</v>
      </c>
      <c r="D73" s="19">
        <v>430</v>
      </c>
      <c r="E73" s="16" t="s">
        <v>1202</v>
      </c>
      <c r="F73" s="17"/>
      <c r="G73" s="16" t="s">
        <v>1568</v>
      </c>
      <c r="H73">
        <v>2690000099</v>
      </c>
      <c r="I73" s="23">
        <v>46027</v>
      </c>
    </row>
    <row r="74" spans="1:9" x14ac:dyDescent="0.25">
      <c r="A74" s="16" t="s">
        <v>1464</v>
      </c>
      <c r="B74" s="16" t="s">
        <v>1465</v>
      </c>
      <c r="C74" s="18">
        <v>46001</v>
      </c>
      <c r="D74" s="19">
        <v>472.3</v>
      </c>
      <c r="E74" s="16" t="s">
        <v>1202</v>
      </c>
      <c r="F74" s="17"/>
      <c r="G74" s="16" t="s">
        <v>1569</v>
      </c>
      <c r="H74">
        <v>2590018258</v>
      </c>
      <c r="I74" s="23">
        <v>46015</v>
      </c>
    </row>
    <row r="75" spans="1:9" x14ac:dyDescent="0.25">
      <c r="A75" s="16" t="s">
        <v>1464</v>
      </c>
      <c r="B75" s="16" t="s">
        <v>1465</v>
      </c>
      <c r="C75" s="18">
        <v>46001</v>
      </c>
      <c r="D75" s="19">
        <v>204.7</v>
      </c>
      <c r="E75" s="16" t="s">
        <v>1202</v>
      </c>
      <c r="F75" s="17"/>
      <c r="G75" s="16" t="s">
        <v>1570</v>
      </c>
    </row>
    <row r="76" spans="1:9" x14ac:dyDescent="0.25">
      <c r="A76" s="16" t="s">
        <v>1464</v>
      </c>
      <c r="B76" s="16" t="s">
        <v>1465</v>
      </c>
      <c r="C76" s="18">
        <v>46001</v>
      </c>
      <c r="D76" s="19">
        <v>240</v>
      </c>
      <c r="E76" s="16" t="s">
        <v>1202</v>
      </c>
      <c r="F76" s="17"/>
      <c r="G76" s="16" t="s">
        <v>1571</v>
      </c>
      <c r="H76">
        <v>2590017827</v>
      </c>
      <c r="I76" s="23">
        <v>46008</v>
      </c>
    </row>
    <row r="77" spans="1:9" x14ac:dyDescent="0.25">
      <c r="A77" s="16" t="s">
        <v>1464</v>
      </c>
      <c r="B77" s="16" t="s">
        <v>1465</v>
      </c>
      <c r="C77" s="18">
        <v>46001</v>
      </c>
      <c r="D77" s="19">
        <v>345</v>
      </c>
      <c r="E77" s="16" t="s">
        <v>1202</v>
      </c>
      <c r="F77" s="17"/>
      <c r="G77" s="16" t="s">
        <v>1572</v>
      </c>
      <c r="H77">
        <v>2590018026</v>
      </c>
      <c r="I77" s="23">
        <v>46013</v>
      </c>
    </row>
    <row r="78" spans="1:9" x14ac:dyDescent="0.25">
      <c r="A78" s="16" t="s">
        <v>1486</v>
      </c>
      <c r="B78" s="16" t="s">
        <v>1487</v>
      </c>
      <c r="C78" s="18">
        <v>45996</v>
      </c>
      <c r="D78" s="20">
        <v>3957.6</v>
      </c>
      <c r="E78" s="16" t="s">
        <v>1202</v>
      </c>
      <c r="F78" s="17"/>
      <c r="G78" s="16" t="s">
        <v>1573</v>
      </c>
      <c r="H78">
        <v>2590017872</v>
      </c>
      <c r="I78" s="23">
        <v>46009</v>
      </c>
    </row>
    <row r="79" spans="1:9" x14ac:dyDescent="0.25">
      <c r="A79" s="16" t="s">
        <v>1486</v>
      </c>
      <c r="B79" s="16" t="s">
        <v>1487</v>
      </c>
      <c r="C79" s="18">
        <v>45996</v>
      </c>
      <c r="D79" s="19">
        <v>77</v>
      </c>
      <c r="E79" s="16" t="s">
        <v>1202</v>
      </c>
      <c r="F79" s="17"/>
      <c r="G79" s="16" t="s">
        <v>1574</v>
      </c>
      <c r="H79">
        <v>2590017648</v>
      </c>
      <c r="I79" s="23">
        <v>46007</v>
      </c>
    </row>
    <row r="80" spans="1:9" x14ac:dyDescent="0.25">
      <c r="A80" s="16" t="s">
        <v>1575</v>
      </c>
      <c r="B80" s="16" t="s">
        <v>1492</v>
      </c>
      <c r="C80" s="18">
        <v>45989</v>
      </c>
      <c r="D80" s="19">
        <v>195</v>
      </c>
      <c r="E80" s="16" t="s">
        <v>1202</v>
      </c>
      <c r="F80" s="17"/>
      <c r="G80" s="16" t="s">
        <v>1576</v>
      </c>
      <c r="H80">
        <v>2590016943</v>
      </c>
      <c r="I80" s="23">
        <v>45998</v>
      </c>
    </row>
    <row r="81" spans="1:9" x14ac:dyDescent="0.25">
      <c r="A81" s="16" t="s">
        <v>1491</v>
      </c>
      <c r="B81" s="16" t="s">
        <v>1492</v>
      </c>
      <c r="C81" s="18">
        <v>45990</v>
      </c>
      <c r="D81" s="19">
        <v>690</v>
      </c>
      <c r="E81" s="16" t="s">
        <v>1202</v>
      </c>
      <c r="F81" s="17"/>
      <c r="G81" s="16" t="s">
        <v>1577</v>
      </c>
      <c r="H81">
        <v>2590017266</v>
      </c>
      <c r="I81" s="23">
        <v>46001</v>
      </c>
    </row>
    <row r="82" spans="1:9" x14ac:dyDescent="0.25">
      <c r="A82" s="16" t="s">
        <v>1491</v>
      </c>
      <c r="B82" s="16" t="s">
        <v>1492</v>
      </c>
      <c r="C82" s="18">
        <v>45990</v>
      </c>
      <c r="D82" s="20">
        <v>1317</v>
      </c>
      <c r="E82" s="16" t="s">
        <v>1202</v>
      </c>
      <c r="F82" s="17"/>
      <c r="G82" s="16" t="s">
        <v>1578</v>
      </c>
      <c r="H82">
        <v>2590017265</v>
      </c>
      <c r="I82" s="23">
        <v>46001</v>
      </c>
    </row>
    <row r="83" spans="1:9" x14ac:dyDescent="0.25">
      <c r="A83" s="16" t="s">
        <v>1507</v>
      </c>
      <c r="B83" s="16" t="s">
        <v>1393</v>
      </c>
      <c r="C83" s="18">
        <v>45986</v>
      </c>
      <c r="D83" s="20">
        <v>1313</v>
      </c>
      <c r="E83" s="16" t="s">
        <v>1202</v>
      </c>
      <c r="F83" s="17"/>
      <c r="G83" s="16" t="s">
        <v>1579</v>
      </c>
      <c r="H83">
        <v>2590016665</v>
      </c>
      <c r="I83" s="23">
        <v>45989</v>
      </c>
    </row>
    <row r="84" spans="1:9" x14ac:dyDescent="0.25">
      <c r="A84" s="16" t="s">
        <v>1507</v>
      </c>
      <c r="B84" s="16" t="s">
        <v>1393</v>
      </c>
      <c r="C84" s="18">
        <v>45986</v>
      </c>
      <c r="D84" s="19">
        <v>58.5</v>
      </c>
      <c r="E84" s="16" t="s">
        <v>1202</v>
      </c>
      <c r="F84" s="17"/>
      <c r="G84" s="16" t="s">
        <v>1580</v>
      </c>
      <c r="H84">
        <v>2590016660</v>
      </c>
      <c r="I84" s="23">
        <v>45989</v>
      </c>
    </row>
    <row r="85" spans="1:9" x14ac:dyDescent="0.25">
      <c r="A85" s="16" t="s">
        <v>1507</v>
      </c>
      <c r="B85" s="16" t="s">
        <v>1393</v>
      </c>
      <c r="C85" s="18">
        <v>45986</v>
      </c>
      <c r="D85" s="19">
        <v>82.5</v>
      </c>
      <c r="E85" s="16" t="s">
        <v>1202</v>
      </c>
      <c r="F85" s="17"/>
      <c r="G85" s="16" t="s">
        <v>1581</v>
      </c>
      <c r="H85">
        <v>2590016963</v>
      </c>
      <c r="I85" s="23">
        <v>45999</v>
      </c>
    </row>
    <row r="86" spans="1:9" x14ac:dyDescent="0.25">
      <c r="A86" s="16" t="s">
        <v>1507</v>
      </c>
      <c r="B86" s="16" t="s">
        <v>1393</v>
      </c>
      <c r="C86" s="18">
        <v>45986</v>
      </c>
      <c r="D86" s="19">
        <v>145</v>
      </c>
      <c r="E86" s="16" t="s">
        <v>1202</v>
      </c>
      <c r="F86" s="17"/>
      <c r="G86" s="16" t="s">
        <v>1582</v>
      </c>
      <c r="H86">
        <v>2590016860</v>
      </c>
      <c r="I86" s="23">
        <v>45995</v>
      </c>
    </row>
    <row r="87" spans="1:9" x14ac:dyDescent="0.25">
      <c r="A87" s="16" t="s">
        <v>1512</v>
      </c>
      <c r="B87" s="16" t="s">
        <v>1513</v>
      </c>
      <c r="C87" s="18">
        <v>45985</v>
      </c>
      <c r="D87" s="19">
        <v>930</v>
      </c>
      <c r="E87" s="16" t="s">
        <v>1202</v>
      </c>
      <c r="F87" s="17"/>
      <c r="G87" s="16" t="s">
        <v>1583</v>
      </c>
    </row>
    <row r="88" spans="1:9" x14ac:dyDescent="0.25">
      <c r="A88" s="16" t="s">
        <v>1512</v>
      </c>
      <c r="B88" s="16" t="s">
        <v>1513</v>
      </c>
      <c r="C88" s="18">
        <v>45985</v>
      </c>
      <c r="D88" s="19">
        <v>390</v>
      </c>
      <c r="E88" s="16" t="s">
        <v>1202</v>
      </c>
      <c r="F88" s="17"/>
      <c r="G88" s="16" t="s">
        <v>1584</v>
      </c>
      <c r="H88">
        <v>2590016664</v>
      </c>
      <c r="I88" s="23">
        <v>45989</v>
      </c>
    </row>
    <row r="89" spans="1:9" x14ac:dyDescent="0.25">
      <c r="A89" s="16" t="s">
        <v>1512</v>
      </c>
      <c r="B89" s="16" t="s">
        <v>1513</v>
      </c>
      <c r="C89" s="18">
        <v>45985</v>
      </c>
      <c r="D89" s="19">
        <v>124</v>
      </c>
      <c r="E89" s="16" t="s">
        <v>1202</v>
      </c>
      <c r="F89" s="17"/>
      <c r="G89" s="16" t="s">
        <v>1585</v>
      </c>
      <c r="H89">
        <v>2590017260</v>
      </c>
      <c r="I89" s="23">
        <v>46001</v>
      </c>
    </row>
    <row r="90" spans="1:9" x14ac:dyDescent="0.25">
      <c r="A90" s="16" t="s">
        <v>1588</v>
      </c>
      <c r="B90" s="16" t="s">
        <v>1356</v>
      </c>
      <c r="C90" s="18">
        <v>45979</v>
      </c>
      <c r="D90" s="19">
        <v>435</v>
      </c>
      <c r="E90" s="16" t="s">
        <v>1202</v>
      </c>
      <c r="F90" s="17"/>
      <c r="G90" s="16" t="s">
        <v>1587</v>
      </c>
      <c r="H90">
        <v>2590016862</v>
      </c>
      <c r="I90" s="23">
        <v>45995</v>
      </c>
    </row>
    <row r="91" spans="1:9" x14ac:dyDescent="0.25">
      <c r="A91" s="16" t="s">
        <v>1530</v>
      </c>
      <c r="B91" s="16" t="s">
        <v>1356</v>
      </c>
      <c r="C91" s="18">
        <v>45980</v>
      </c>
      <c r="D91" s="19">
        <v>600</v>
      </c>
      <c r="E91" s="16" t="s">
        <v>1202</v>
      </c>
      <c r="F91" s="17"/>
      <c r="G91" s="16" t="s">
        <v>1586</v>
      </c>
      <c r="H91">
        <v>2590016959</v>
      </c>
      <c r="I91" s="23">
        <v>45999</v>
      </c>
    </row>
    <row r="92" spans="1:9" x14ac:dyDescent="0.25">
      <c r="A92" s="16" t="s">
        <v>1539</v>
      </c>
      <c r="B92" s="16" t="s">
        <v>1396</v>
      </c>
      <c r="C92" s="18">
        <v>45978</v>
      </c>
      <c r="D92" s="20">
        <v>1222</v>
      </c>
      <c r="E92" s="16" t="s">
        <v>1202</v>
      </c>
      <c r="F92" s="17"/>
      <c r="G92" s="16" t="s">
        <v>1589</v>
      </c>
      <c r="H92">
        <v>2590016273</v>
      </c>
      <c r="I92" s="23">
        <v>45982</v>
      </c>
    </row>
    <row r="93" spans="1:9" x14ac:dyDescent="0.25">
      <c r="A93" s="16" t="s">
        <v>1539</v>
      </c>
      <c r="B93" s="16" t="s">
        <v>1396</v>
      </c>
      <c r="C93" s="18">
        <v>45978</v>
      </c>
      <c r="D93" s="19">
        <v>450</v>
      </c>
      <c r="E93" s="16" t="s">
        <v>1202</v>
      </c>
      <c r="F93" s="17"/>
      <c r="G93" s="16" t="s">
        <v>1590</v>
      </c>
    </row>
    <row r="94" spans="1:9" x14ac:dyDescent="0.25">
      <c r="A94" s="16" t="s">
        <v>1540</v>
      </c>
      <c r="B94" s="16" t="s">
        <v>1388</v>
      </c>
      <c r="C94" s="18">
        <v>45978</v>
      </c>
      <c r="D94" s="20">
        <v>1010</v>
      </c>
      <c r="E94" s="16" t="s">
        <v>1202</v>
      </c>
      <c r="F94" s="17"/>
      <c r="G94" s="16" t="s">
        <v>1592</v>
      </c>
      <c r="H94">
        <v>2590016278</v>
      </c>
      <c r="I94" s="23">
        <v>45982</v>
      </c>
    </row>
    <row r="95" spans="1:9" x14ac:dyDescent="0.25">
      <c r="A95" s="16" t="s">
        <v>1540</v>
      </c>
      <c r="B95" s="16" t="s">
        <v>1388</v>
      </c>
      <c r="C95" s="18">
        <v>45978</v>
      </c>
      <c r="D95" s="19">
        <v>220</v>
      </c>
      <c r="E95" s="16" t="s">
        <v>1202</v>
      </c>
      <c r="F95" s="17"/>
      <c r="G95" s="16" t="s">
        <v>1591</v>
      </c>
    </row>
    <row r="96" spans="1:9" x14ac:dyDescent="0.25">
      <c r="A96" s="16" t="s">
        <v>1545</v>
      </c>
      <c r="B96" s="16" t="s">
        <v>1534</v>
      </c>
      <c r="C96" s="18">
        <v>45978</v>
      </c>
      <c r="D96" s="19">
        <v>300</v>
      </c>
      <c r="E96" s="16" t="s">
        <v>1202</v>
      </c>
      <c r="F96" s="17"/>
      <c r="G96" s="16" t="s">
        <v>1593</v>
      </c>
    </row>
    <row r="97" spans="1:9" x14ac:dyDescent="0.25">
      <c r="A97" s="16" t="s">
        <v>1545</v>
      </c>
      <c r="B97" s="16" t="s">
        <v>1534</v>
      </c>
      <c r="C97" s="18">
        <v>45978</v>
      </c>
      <c r="D97" s="19">
        <v>578.20000000000005</v>
      </c>
      <c r="E97" s="16" t="s">
        <v>1202</v>
      </c>
      <c r="F97" s="17"/>
      <c r="G97" s="16" t="s">
        <v>1594</v>
      </c>
      <c r="H97">
        <v>2590016141</v>
      </c>
      <c r="I97" s="23">
        <v>45980</v>
      </c>
    </row>
    <row r="98" spans="1:9" x14ac:dyDescent="0.25">
      <c r="A98" s="16" t="s">
        <v>1545</v>
      </c>
      <c r="B98" s="16" t="s">
        <v>1534</v>
      </c>
      <c r="C98" s="18">
        <v>45978</v>
      </c>
      <c r="D98" s="19">
        <v>160.1</v>
      </c>
      <c r="E98" s="16" t="s">
        <v>1202</v>
      </c>
      <c r="F98" s="17"/>
      <c r="G98" s="16" t="s">
        <v>1595</v>
      </c>
      <c r="H98">
        <v>2590016407</v>
      </c>
      <c r="I98" s="23">
        <v>45986</v>
      </c>
    </row>
    <row r="99" spans="1:9" x14ac:dyDescent="0.25">
      <c r="A99" s="16" t="s">
        <v>1545</v>
      </c>
      <c r="B99" s="16" t="s">
        <v>1534</v>
      </c>
      <c r="C99" s="18">
        <v>45978</v>
      </c>
      <c r="D99" s="19">
        <v>130</v>
      </c>
      <c r="E99" s="16" t="s">
        <v>1202</v>
      </c>
      <c r="F99" s="17"/>
      <c r="G99" s="16" t="s">
        <v>1596</v>
      </c>
      <c r="H99">
        <v>2590017977</v>
      </c>
      <c r="I99" s="23">
        <v>46012</v>
      </c>
    </row>
    <row r="100" spans="1:9" x14ac:dyDescent="0.25">
      <c r="A100" s="16" t="s">
        <v>1211</v>
      </c>
      <c r="B100" s="16" t="s">
        <v>1212</v>
      </c>
      <c r="C100" s="18">
        <v>45973</v>
      </c>
      <c r="D100" s="19">
        <v>480</v>
      </c>
      <c r="E100" s="16" t="s">
        <v>1202</v>
      </c>
      <c r="F100" s="17"/>
      <c r="G100" s="16" t="s">
        <v>1597</v>
      </c>
      <c r="H100">
        <v>2690000072</v>
      </c>
      <c r="I100" s="23">
        <v>46026</v>
      </c>
    </row>
    <row r="101" spans="1:9" x14ac:dyDescent="0.25">
      <c r="A101" s="16" t="s">
        <v>1211</v>
      </c>
      <c r="B101" s="16" t="s">
        <v>1212</v>
      </c>
      <c r="C101" s="18">
        <v>45973</v>
      </c>
      <c r="D101" s="19">
        <v>750</v>
      </c>
      <c r="E101" s="16" t="s">
        <v>1202</v>
      </c>
      <c r="F101" s="17"/>
      <c r="G101" s="16" t="s">
        <v>1213</v>
      </c>
      <c r="H101">
        <v>2590016191</v>
      </c>
      <c r="I101" s="23">
        <v>45981</v>
      </c>
    </row>
    <row r="102" spans="1:9" x14ac:dyDescent="0.25">
      <c r="A102" s="16" t="s">
        <v>1217</v>
      </c>
      <c r="B102" s="16" t="s">
        <v>1218</v>
      </c>
      <c r="C102" s="18">
        <v>45973</v>
      </c>
      <c r="D102" s="20">
        <v>1100</v>
      </c>
      <c r="E102" s="16" t="s">
        <v>1202</v>
      </c>
      <c r="F102" s="17"/>
      <c r="G102" s="16" t="s">
        <v>1600</v>
      </c>
      <c r="H102">
        <v>2590017259</v>
      </c>
      <c r="I102" s="23">
        <v>46001</v>
      </c>
    </row>
    <row r="103" spans="1:9" x14ac:dyDescent="0.25">
      <c r="A103" s="16" t="s">
        <v>1217</v>
      </c>
      <c r="B103" s="16" t="s">
        <v>1598</v>
      </c>
      <c r="C103" s="18">
        <v>45973</v>
      </c>
      <c r="D103" s="20">
        <v>1700</v>
      </c>
      <c r="E103" s="16" t="s">
        <v>1202</v>
      </c>
      <c r="F103" s="17"/>
      <c r="G103" s="16" t="s">
        <v>1601</v>
      </c>
      <c r="H103">
        <v>2590016325</v>
      </c>
      <c r="I103" s="23">
        <v>45984</v>
      </c>
    </row>
    <row r="104" spans="1:9" x14ac:dyDescent="0.25">
      <c r="A104" s="16" t="s">
        <v>1217</v>
      </c>
      <c r="B104" s="16" t="s">
        <v>1599</v>
      </c>
      <c r="C104" s="18">
        <v>45973</v>
      </c>
      <c r="D104" s="19">
        <v>520</v>
      </c>
      <c r="E104" s="16" t="s">
        <v>1202</v>
      </c>
      <c r="F104" s="17"/>
      <c r="G104" s="16" t="s">
        <v>1602</v>
      </c>
      <c r="H104">
        <v>2590016408</v>
      </c>
      <c r="I104" s="23">
        <v>45986</v>
      </c>
    </row>
    <row r="105" spans="1:9" x14ac:dyDescent="0.25">
      <c r="A105" s="16" t="s">
        <v>1234</v>
      </c>
      <c r="B105" s="16" t="s">
        <v>1235</v>
      </c>
      <c r="C105" s="18">
        <v>45971</v>
      </c>
      <c r="D105" s="19">
        <v>580</v>
      </c>
      <c r="E105" s="16" t="s">
        <v>1202</v>
      </c>
      <c r="F105" s="17"/>
      <c r="G105" s="16" t="s">
        <v>1603</v>
      </c>
      <c r="H105">
        <v>2590016078</v>
      </c>
      <c r="I105" s="23">
        <v>45979</v>
      </c>
    </row>
    <row r="106" spans="1:9" x14ac:dyDescent="0.25">
      <c r="A106" s="16" t="s">
        <v>1234</v>
      </c>
      <c r="B106" s="16" t="s">
        <v>1235</v>
      </c>
      <c r="C106" s="18">
        <v>45971</v>
      </c>
      <c r="D106" s="19">
        <v>426.4</v>
      </c>
      <c r="E106" s="16" t="s">
        <v>1202</v>
      </c>
      <c r="F106" s="17"/>
      <c r="G106" s="16" t="s">
        <v>1604</v>
      </c>
      <c r="H106">
        <v>2590016466</v>
      </c>
      <c r="I106" s="23">
        <v>45986</v>
      </c>
    </row>
    <row r="107" spans="1:9" x14ac:dyDescent="0.25">
      <c r="A107" s="16" t="s">
        <v>1234</v>
      </c>
      <c r="B107" s="16" t="s">
        <v>1235</v>
      </c>
      <c r="C107" s="18">
        <v>45971</v>
      </c>
      <c r="D107" s="19">
        <v>280</v>
      </c>
      <c r="E107" s="16" t="s">
        <v>1202</v>
      </c>
      <c r="F107" s="17"/>
      <c r="G107" s="16" t="s">
        <v>1605</v>
      </c>
      <c r="H107">
        <v>2590016280</v>
      </c>
      <c r="I107" s="23">
        <v>45982</v>
      </c>
    </row>
    <row r="108" spans="1:9" x14ac:dyDescent="0.25">
      <c r="A108" s="16" t="s">
        <v>1248</v>
      </c>
      <c r="B108" s="16" t="s">
        <v>1249</v>
      </c>
      <c r="C108" s="18">
        <v>45968</v>
      </c>
      <c r="D108" s="19">
        <v>88</v>
      </c>
      <c r="E108" s="16" t="s">
        <v>1202</v>
      </c>
      <c r="F108" s="17"/>
      <c r="G108" s="16" t="s">
        <v>1606</v>
      </c>
      <c r="H108">
        <v>2590015933</v>
      </c>
      <c r="I108" s="23">
        <v>45977</v>
      </c>
    </row>
    <row r="109" spans="1:9" x14ac:dyDescent="0.25">
      <c r="A109" s="16" t="s">
        <v>1248</v>
      </c>
      <c r="B109" s="16" t="s">
        <v>1249</v>
      </c>
      <c r="C109" s="18">
        <v>45968</v>
      </c>
      <c r="D109" s="19">
        <v>420</v>
      </c>
      <c r="E109" s="16" t="s">
        <v>1202</v>
      </c>
      <c r="F109" s="17"/>
      <c r="G109" s="16" t="s">
        <v>1607</v>
      </c>
      <c r="H109">
        <v>2590015777</v>
      </c>
      <c r="I109" s="23">
        <v>45974</v>
      </c>
    </row>
    <row r="110" spans="1:9" x14ac:dyDescent="0.25">
      <c r="A110" s="16" t="s">
        <v>1250</v>
      </c>
      <c r="B110" s="16" t="s">
        <v>1251</v>
      </c>
      <c r="C110" s="18">
        <v>45967</v>
      </c>
      <c r="D110" s="19">
        <v>231.65</v>
      </c>
      <c r="E110" s="16" t="s">
        <v>1202</v>
      </c>
      <c r="F110" s="17"/>
      <c r="G110" s="16" t="s">
        <v>1608</v>
      </c>
      <c r="H110">
        <v>2590015551</v>
      </c>
      <c r="I110" s="23">
        <v>45970</v>
      </c>
    </row>
    <row r="111" spans="1:9" x14ac:dyDescent="0.25">
      <c r="A111" s="16" t="s">
        <v>1250</v>
      </c>
      <c r="B111" s="16" t="s">
        <v>1251</v>
      </c>
      <c r="C111" s="18">
        <v>45967</v>
      </c>
      <c r="D111" s="19">
        <v>275.5</v>
      </c>
      <c r="E111" s="16" t="s">
        <v>1202</v>
      </c>
      <c r="F111" s="17"/>
      <c r="G111" s="16" t="s">
        <v>1609</v>
      </c>
      <c r="H111">
        <v>2590015802</v>
      </c>
      <c r="I111" s="23">
        <v>45974</v>
      </c>
    </row>
    <row r="112" spans="1:9" x14ac:dyDescent="0.25">
      <c r="A112" s="16" t="s">
        <v>1250</v>
      </c>
      <c r="B112" s="16" t="s">
        <v>1251</v>
      </c>
      <c r="C112" s="18">
        <v>45967</v>
      </c>
      <c r="D112" s="19">
        <v>480</v>
      </c>
      <c r="E112" s="16" t="s">
        <v>1202</v>
      </c>
      <c r="F112" s="17"/>
      <c r="G112" s="16" t="s">
        <v>1610</v>
      </c>
      <c r="H112">
        <v>2590016110</v>
      </c>
      <c r="I112" s="23">
        <v>45980</v>
      </c>
    </row>
    <row r="113" spans="1:9" x14ac:dyDescent="0.25">
      <c r="A113" s="16" t="s">
        <v>1255</v>
      </c>
      <c r="B113" s="16" t="s">
        <v>1256</v>
      </c>
      <c r="C113" s="18">
        <v>45967</v>
      </c>
      <c r="D113" s="19">
        <v>273</v>
      </c>
      <c r="E113" s="16" t="s">
        <v>1202</v>
      </c>
      <c r="F113" s="17"/>
      <c r="G113" s="16" t="s">
        <v>1611</v>
      </c>
      <c r="H113">
        <v>2590015550</v>
      </c>
      <c r="I113" s="23">
        <v>45970</v>
      </c>
    </row>
    <row r="114" spans="1:9" x14ac:dyDescent="0.25">
      <c r="A114" s="16" t="s">
        <v>1255</v>
      </c>
      <c r="B114" s="16" t="s">
        <v>1256</v>
      </c>
      <c r="C114" s="18">
        <v>45967</v>
      </c>
      <c r="D114" s="19">
        <v>426.4</v>
      </c>
      <c r="E114" s="16" t="s">
        <v>1202</v>
      </c>
      <c r="F114" s="17"/>
      <c r="G114" s="16" t="s">
        <v>1612</v>
      </c>
      <c r="H114">
        <v>2590015705</v>
      </c>
      <c r="I114" s="23">
        <v>45973</v>
      </c>
    </row>
    <row r="115" spans="1:9" x14ac:dyDescent="0.25">
      <c r="A115" s="16" t="s">
        <v>1255</v>
      </c>
      <c r="B115" s="16" t="s">
        <v>1256</v>
      </c>
      <c r="C115" s="18">
        <v>45967</v>
      </c>
      <c r="D115" s="19">
        <v>70</v>
      </c>
      <c r="E115" s="16" t="s">
        <v>1202</v>
      </c>
      <c r="F115" s="17"/>
      <c r="G115" s="16" t="s">
        <v>1613</v>
      </c>
      <c r="H115">
        <v>2590015772</v>
      </c>
      <c r="I115" s="23">
        <v>45974</v>
      </c>
    </row>
    <row r="116" spans="1:9" x14ac:dyDescent="0.25">
      <c r="A116" s="16" t="s">
        <v>1277</v>
      </c>
      <c r="B116" s="16" t="s">
        <v>1226</v>
      </c>
      <c r="C116" s="18">
        <v>45965</v>
      </c>
      <c r="D116" s="19">
        <v>360</v>
      </c>
      <c r="E116" s="16" t="s">
        <v>1202</v>
      </c>
      <c r="F116" s="17"/>
      <c r="G116" s="16" t="s">
        <v>1614</v>
      </c>
      <c r="H116">
        <v>2590015704</v>
      </c>
      <c r="I116" s="23">
        <v>45973</v>
      </c>
    </row>
    <row r="117" spans="1:9" x14ac:dyDescent="0.25">
      <c r="A117" s="16" t="s">
        <v>1277</v>
      </c>
      <c r="B117" s="16" t="s">
        <v>1226</v>
      </c>
      <c r="C117" s="18">
        <v>45965</v>
      </c>
      <c r="D117" s="19">
        <v>137.5</v>
      </c>
      <c r="E117" s="16" t="s">
        <v>1202</v>
      </c>
      <c r="F117" s="17"/>
      <c r="G117" s="16" t="s">
        <v>1615</v>
      </c>
      <c r="H117">
        <v>2590016663</v>
      </c>
      <c r="I117" s="23">
        <v>45989</v>
      </c>
    </row>
    <row r="118" spans="1:9" x14ac:dyDescent="0.25">
      <c r="A118" s="16" t="s">
        <v>1286</v>
      </c>
      <c r="B118" s="16" t="s">
        <v>1287</v>
      </c>
      <c r="C118" s="18">
        <v>45964</v>
      </c>
      <c r="D118" s="20">
        <v>1574.4</v>
      </c>
      <c r="E118" s="16" t="s">
        <v>1202</v>
      </c>
      <c r="F118" s="17"/>
      <c r="G118" s="16" t="s">
        <v>1616</v>
      </c>
      <c r="H118">
        <v>2590016112</v>
      </c>
      <c r="I118" s="23">
        <v>45980</v>
      </c>
    </row>
    <row r="119" spans="1:9" x14ac:dyDescent="0.25">
      <c r="A119" s="16" t="s">
        <v>1286</v>
      </c>
      <c r="B119" s="16" t="s">
        <v>1287</v>
      </c>
      <c r="C119" s="18">
        <v>45964</v>
      </c>
      <c r="D119" s="19">
        <v>290</v>
      </c>
      <c r="E119" s="16" t="s">
        <v>1202</v>
      </c>
      <c r="F119" s="17"/>
      <c r="G119" s="16" t="s">
        <v>1617</v>
      </c>
      <c r="H119">
        <v>2590015318</v>
      </c>
      <c r="I119" s="23">
        <v>45966</v>
      </c>
    </row>
    <row r="120" spans="1:9" x14ac:dyDescent="0.25">
      <c r="A120" s="16" t="s">
        <v>1294</v>
      </c>
      <c r="B120" s="16" t="s">
        <v>1295</v>
      </c>
      <c r="C120" s="18">
        <v>45960</v>
      </c>
      <c r="D120" s="19">
        <v>120</v>
      </c>
      <c r="E120" s="16" t="s">
        <v>1202</v>
      </c>
      <c r="F120" s="17"/>
      <c r="G120" s="16" t="s">
        <v>1618</v>
      </c>
      <c r="H120">
        <v>2590015360</v>
      </c>
      <c r="I120" s="23">
        <v>45966</v>
      </c>
    </row>
    <row r="121" spans="1:9" x14ac:dyDescent="0.25">
      <c r="A121" s="16" t="s">
        <v>1294</v>
      </c>
      <c r="B121" s="16" t="s">
        <v>1295</v>
      </c>
      <c r="C121" s="18">
        <v>45960</v>
      </c>
      <c r="D121" s="19">
        <v>204.7</v>
      </c>
      <c r="E121" s="16" t="s">
        <v>1202</v>
      </c>
      <c r="F121" s="17"/>
      <c r="G121" s="16" t="s">
        <v>1619</v>
      </c>
      <c r="H121">
        <v>2590015267</v>
      </c>
      <c r="I121" s="23">
        <v>45965</v>
      </c>
    </row>
    <row r="122" spans="1:9" x14ac:dyDescent="0.25">
      <c r="A122" s="16" t="s">
        <v>1296</v>
      </c>
      <c r="B122" s="16" t="s">
        <v>1297</v>
      </c>
      <c r="C122" s="18">
        <v>45960</v>
      </c>
      <c r="D122" s="20">
        <v>6485</v>
      </c>
      <c r="E122" s="16" t="s">
        <v>1202</v>
      </c>
      <c r="F122" s="17"/>
      <c r="G122" s="16" t="s">
        <v>1620</v>
      </c>
      <c r="H122">
        <v>2590015312</v>
      </c>
      <c r="I122" s="23">
        <v>45966</v>
      </c>
    </row>
    <row r="123" spans="1:9" x14ac:dyDescent="0.25">
      <c r="A123" s="16" t="s">
        <v>1296</v>
      </c>
      <c r="B123" s="16" t="s">
        <v>1297</v>
      </c>
      <c r="C123" s="18">
        <v>45960</v>
      </c>
      <c r="D123" s="20">
        <v>4800</v>
      </c>
      <c r="E123" s="16" t="s">
        <v>1202</v>
      </c>
      <c r="F123" s="17"/>
      <c r="G123" s="16" t="s">
        <v>1621</v>
      </c>
      <c r="H123">
        <v>2590015408</v>
      </c>
      <c r="I123" s="23">
        <v>45967</v>
      </c>
    </row>
    <row r="124" spans="1:9" x14ac:dyDescent="0.25">
      <c r="A124" s="16" t="s">
        <v>1311</v>
      </c>
      <c r="B124" s="16" t="s">
        <v>1312</v>
      </c>
      <c r="C124" s="18">
        <v>45957</v>
      </c>
      <c r="D124" s="19">
        <v>750</v>
      </c>
      <c r="E124" s="16" t="s">
        <v>1202</v>
      </c>
      <c r="F124" s="17"/>
      <c r="G124" s="16" t="s">
        <v>1622</v>
      </c>
      <c r="H124">
        <v>2590016410</v>
      </c>
      <c r="I124" s="23">
        <v>45986</v>
      </c>
    </row>
    <row r="125" spans="1:9" x14ac:dyDescent="0.25">
      <c r="A125" s="16" t="s">
        <v>1311</v>
      </c>
      <c r="B125" s="16" t="s">
        <v>1312</v>
      </c>
      <c r="C125" s="18">
        <v>45957</v>
      </c>
      <c r="D125" s="19">
        <v>997.5</v>
      </c>
      <c r="E125" s="16" t="s">
        <v>1202</v>
      </c>
      <c r="F125" s="17"/>
      <c r="G125" s="16" t="s">
        <v>1623</v>
      </c>
      <c r="H125">
        <v>2590016079</v>
      </c>
      <c r="I125" s="23">
        <v>45989</v>
      </c>
    </row>
    <row r="126" spans="1:9" x14ac:dyDescent="0.25">
      <c r="A126" s="16" t="s">
        <v>1311</v>
      </c>
      <c r="B126" s="16" t="s">
        <v>1312</v>
      </c>
      <c r="C126" s="18">
        <v>45957</v>
      </c>
      <c r="D126" s="20">
        <v>1150</v>
      </c>
      <c r="E126" s="16" t="s">
        <v>1202</v>
      </c>
      <c r="F126" s="17"/>
      <c r="G126" s="16" t="s">
        <v>1624</v>
      </c>
      <c r="H126">
        <v>2590016323</v>
      </c>
      <c r="I126" s="23">
        <v>45984</v>
      </c>
    </row>
    <row r="127" spans="1:9" x14ac:dyDescent="0.25">
      <c r="A127" s="16" t="s">
        <v>1311</v>
      </c>
      <c r="B127" s="16" t="s">
        <v>1312</v>
      </c>
      <c r="C127" s="18">
        <v>45957</v>
      </c>
      <c r="D127" s="19">
        <v>700</v>
      </c>
      <c r="E127" s="16" t="s">
        <v>1202</v>
      </c>
      <c r="F127" s="17"/>
      <c r="G127" s="16" t="s">
        <v>1625</v>
      </c>
      <c r="H127">
        <v>2590015253</v>
      </c>
      <c r="I127" s="23">
        <v>45965</v>
      </c>
    </row>
    <row r="128" spans="1:9" x14ac:dyDescent="0.25">
      <c r="A128" s="16" t="s">
        <v>1313</v>
      </c>
      <c r="B128" s="16" t="s">
        <v>1314</v>
      </c>
      <c r="C128" s="18">
        <v>45957</v>
      </c>
      <c r="D128" s="19">
        <v>480.7</v>
      </c>
      <c r="E128" s="16" t="s">
        <v>1202</v>
      </c>
      <c r="F128" s="17"/>
      <c r="G128" s="16" t="s">
        <v>1626</v>
      </c>
      <c r="H128">
        <v>2590015928</v>
      </c>
      <c r="I128" s="23">
        <v>45977</v>
      </c>
    </row>
    <row r="129" spans="1:9" x14ac:dyDescent="0.25">
      <c r="A129" s="16" t="s">
        <v>1313</v>
      </c>
      <c r="B129" s="16" t="s">
        <v>1314</v>
      </c>
      <c r="C129" s="18">
        <v>45957</v>
      </c>
      <c r="D129" s="19">
        <v>430</v>
      </c>
      <c r="E129" s="16" t="s">
        <v>1202</v>
      </c>
      <c r="F129" s="17"/>
      <c r="G129" s="16" t="s">
        <v>1627</v>
      </c>
      <c r="H129">
        <v>2590015488</v>
      </c>
      <c r="I129" s="23">
        <v>45968</v>
      </c>
    </row>
    <row r="130" spans="1:9" x14ac:dyDescent="0.25">
      <c r="A130" s="16" t="s">
        <v>1313</v>
      </c>
      <c r="B130" s="16" t="s">
        <v>1314</v>
      </c>
      <c r="C130" s="18">
        <v>45957</v>
      </c>
      <c r="D130" s="19">
        <v>136</v>
      </c>
      <c r="E130" s="16" t="s">
        <v>1202</v>
      </c>
      <c r="F130" s="17"/>
      <c r="G130" s="16" t="s">
        <v>1628</v>
      </c>
    </row>
    <row r="131" spans="1:9" x14ac:dyDescent="0.25">
      <c r="A131" s="16" t="s">
        <v>1313</v>
      </c>
      <c r="B131" s="16" t="s">
        <v>1314</v>
      </c>
      <c r="C131" s="18">
        <v>45957</v>
      </c>
      <c r="D131" s="19">
        <v>65</v>
      </c>
      <c r="E131" s="16" t="s">
        <v>1202</v>
      </c>
      <c r="F131" s="17"/>
      <c r="G131" s="16" t="s">
        <v>1629</v>
      </c>
      <c r="H131">
        <v>2590015748</v>
      </c>
      <c r="I131" s="23">
        <v>45973</v>
      </c>
    </row>
    <row r="132" spans="1:9" x14ac:dyDescent="0.25">
      <c r="A132" s="16" t="s">
        <v>1313</v>
      </c>
      <c r="B132" s="16" t="s">
        <v>1314</v>
      </c>
      <c r="C132" s="18">
        <v>45957</v>
      </c>
      <c r="D132" s="19">
        <v>213.2</v>
      </c>
      <c r="E132" s="16" t="s">
        <v>1202</v>
      </c>
      <c r="F132" s="17"/>
      <c r="G132" s="16" t="s">
        <v>1630</v>
      </c>
      <c r="H132">
        <v>2590015155</v>
      </c>
      <c r="I132" s="23">
        <v>45962</v>
      </c>
    </row>
    <row r="133" spans="1:9" x14ac:dyDescent="0.25">
      <c r="A133" s="16" t="s">
        <v>1339</v>
      </c>
      <c r="B133" s="16" t="s">
        <v>1340</v>
      </c>
      <c r="C133" s="18">
        <v>45954</v>
      </c>
      <c r="D133" s="19">
        <v>250</v>
      </c>
      <c r="E133" s="16" t="s">
        <v>1202</v>
      </c>
      <c r="F133" s="17"/>
      <c r="G133" s="16" t="s">
        <v>1631</v>
      </c>
    </row>
    <row r="134" spans="1:9" x14ac:dyDescent="0.25">
      <c r="A134" s="16" t="s">
        <v>1339</v>
      </c>
      <c r="B134" s="16" t="s">
        <v>1340</v>
      </c>
      <c r="C134" s="18">
        <v>45954</v>
      </c>
      <c r="D134" s="20">
        <v>2420</v>
      </c>
      <c r="E134" s="16" t="s">
        <v>1202</v>
      </c>
      <c r="F134" s="17"/>
      <c r="G134" s="16" t="s">
        <v>1632</v>
      </c>
    </row>
    <row r="135" spans="1:9" x14ac:dyDescent="0.25">
      <c r="A135" s="16" t="s">
        <v>1339</v>
      </c>
      <c r="B135" s="16" t="s">
        <v>1340</v>
      </c>
      <c r="C135" s="18">
        <v>45954</v>
      </c>
      <c r="D135" s="19">
        <v>120</v>
      </c>
      <c r="E135" s="16" t="s">
        <v>1202</v>
      </c>
      <c r="F135" s="17"/>
      <c r="G135" s="16" t="s">
        <v>1633</v>
      </c>
    </row>
    <row r="136" spans="1:9" x14ac:dyDescent="0.25">
      <c r="A136" s="16" t="s">
        <v>1358</v>
      </c>
      <c r="B136" s="16" t="s">
        <v>1359</v>
      </c>
      <c r="C136" s="18">
        <v>45951</v>
      </c>
      <c r="D136" s="19">
        <v>770</v>
      </c>
      <c r="E136" s="16" t="s">
        <v>1202</v>
      </c>
      <c r="F136" s="17"/>
      <c r="G136" s="16" t="s">
        <v>1634</v>
      </c>
      <c r="H136">
        <v>2590017433</v>
      </c>
      <c r="I136" s="23">
        <v>46003</v>
      </c>
    </row>
    <row r="137" spans="1:9" x14ac:dyDescent="0.25">
      <c r="A137" s="16" t="s">
        <v>1358</v>
      </c>
      <c r="B137" s="16" t="s">
        <v>1359</v>
      </c>
      <c r="C137" s="18">
        <v>45951</v>
      </c>
      <c r="D137" s="19">
        <v>84</v>
      </c>
      <c r="E137" s="16"/>
      <c r="F137" s="17"/>
      <c r="G137" s="16" t="s">
        <v>1635</v>
      </c>
    </row>
    <row r="138" spans="1:9" x14ac:dyDescent="0.25">
      <c r="A138" s="16" t="s">
        <v>1367</v>
      </c>
      <c r="B138" s="16" t="s">
        <v>1368</v>
      </c>
      <c r="C138" s="18">
        <v>45950</v>
      </c>
      <c r="D138" s="19">
        <v>505</v>
      </c>
      <c r="E138" s="16" t="s">
        <v>1202</v>
      </c>
      <c r="F138" s="17"/>
      <c r="G138" s="16" t="s">
        <v>1636</v>
      </c>
      <c r="H138">
        <v>2590014624</v>
      </c>
      <c r="I138" s="23">
        <v>45953</v>
      </c>
    </row>
    <row r="139" spans="1:9" x14ac:dyDescent="0.25">
      <c r="A139" s="16" t="s">
        <v>1367</v>
      </c>
      <c r="B139" s="16" t="s">
        <v>1368</v>
      </c>
      <c r="C139" s="18">
        <v>45950</v>
      </c>
      <c r="D139" s="20">
        <v>1010</v>
      </c>
      <c r="E139" s="16" t="s">
        <v>1202</v>
      </c>
      <c r="F139" s="17"/>
      <c r="G139" s="16" t="s">
        <v>1637</v>
      </c>
      <c r="H139">
        <v>2590014917</v>
      </c>
      <c r="I139" s="23">
        <v>45959</v>
      </c>
    </row>
    <row r="140" spans="1:9" x14ac:dyDescent="0.25">
      <c r="A140" s="16" t="s">
        <v>1367</v>
      </c>
      <c r="B140" s="16" t="s">
        <v>1368</v>
      </c>
      <c r="C140" s="18">
        <v>45950</v>
      </c>
      <c r="D140" s="20">
        <v>1462.8</v>
      </c>
      <c r="E140" s="16" t="s">
        <v>1202</v>
      </c>
      <c r="F140" s="17"/>
      <c r="G140" s="16" t="s">
        <v>1638</v>
      </c>
    </row>
    <row r="141" spans="1:9" x14ac:dyDescent="0.25">
      <c r="A141" s="16" t="s">
        <v>1367</v>
      </c>
      <c r="B141" s="16" t="s">
        <v>1368</v>
      </c>
      <c r="C141" s="18">
        <v>45950</v>
      </c>
      <c r="D141" s="19">
        <v>174</v>
      </c>
      <c r="E141" s="16" t="s">
        <v>1202</v>
      </c>
      <c r="F141" s="17"/>
      <c r="G141" s="16" t="s">
        <v>1639</v>
      </c>
      <c r="H141">
        <v>2590014703</v>
      </c>
      <c r="I141" s="23">
        <v>45954</v>
      </c>
    </row>
    <row r="142" spans="1:9" x14ac:dyDescent="0.25">
      <c r="A142" s="16" t="s">
        <v>1369</v>
      </c>
      <c r="B142" s="16" t="s">
        <v>1370</v>
      </c>
      <c r="C142" s="18">
        <v>45949</v>
      </c>
      <c r="D142" s="19">
        <v>255.84</v>
      </c>
      <c r="E142" s="16" t="s">
        <v>1202</v>
      </c>
      <c r="F142" s="17"/>
      <c r="G142" s="16" t="s">
        <v>1640</v>
      </c>
      <c r="H142">
        <v>2590014703</v>
      </c>
      <c r="I142" s="23">
        <v>45954</v>
      </c>
    </row>
    <row r="143" spans="1:9" x14ac:dyDescent="0.25">
      <c r="A143" s="16" t="s">
        <v>1369</v>
      </c>
      <c r="B143" s="16" t="s">
        <v>1370</v>
      </c>
      <c r="C143" s="18">
        <v>45949</v>
      </c>
      <c r="D143" s="19">
        <v>160</v>
      </c>
      <c r="E143" s="16" t="s">
        <v>1202</v>
      </c>
      <c r="F143" s="17"/>
      <c r="G143" s="16" t="s">
        <v>1641</v>
      </c>
      <c r="H143">
        <v>2590014487</v>
      </c>
      <c r="I143" s="23">
        <v>45951</v>
      </c>
    </row>
    <row r="144" spans="1:9" x14ac:dyDescent="0.25">
      <c r="A144" s="16" t="s">
        <v>1373</v>
      </c>
      <c r="B144" s="16" t="s">
        <v>1374</v>
      </c>
      <c r="C144" s="18">
        <v>45947</v>
      </c>
      <c r="D144" s="20">
        <v>2210</v>
      </c>
      <c r="E144" s="16" t="s">
        <v>1202</v>
      </c>
      <c r="F144" s="17"/>
      <c r="G144" s="16" t="s">
        <v>1642</v>
      </c>
      <c r="H144">
        <v>2590014446</v>
      </c>
      <c r="I144" s="23">
        <v>45951</v>
      </c>
    </row>
    <row r="145" spans="1:9" x14ac:dyDescent="0.25">
      <c r="A145" s="16" t="s">
        <v>1373</v>
      </c>
      <c r="B145" s="16" t="s">
        <v>1374</v>
      </c>
      <c r="C145" s="18">
        <v>45947</v>
      </c>
      <c r="D145" s="19">
        <v>650</v>
      </c>
      <c r="E145" s="16" t="s">
        <v>1202</v>
      </c>
      <c r="F145" s="17"/>
      <c r="G145" s="16" t="s">
        <v>1643</v>
      </c>
    </row>
    <row r="146" spans="1:9" x14ac:dyDescent="0.25">
      <c r="A146" s="14" t="s">
        <v>1410</v>
      </c>
      <c r="B146" s="14" t="s">
        <v>1387</v>
      </c>
      <c r="C146" s="15">
        <v>46027</v>
      </c>
      <c r="D146" s="22">
        <v>869.55</v>
      </c>
      <c r="E146" s="14" t="s">
        <v>1202</v>
      </c>
      <c r="G146" s="14" t="s">
        <v>1411</v>
      </c>
      <c r="H146" s="14" t="s">
        <v>1686</v>
      </c>
      <c r="I146" s="23">
        <v>46028</v>
      </c>
    </row>
    <row r="147" spans="1:9" x14ac:dyDescent="0.25">
      <c r="A147" s="14" t="s">
        <v>1420</v>
      </c>
      <c r="B147" s="14" t="s">
        <v>1284</v>
      </c>
      <c r="C147" s="15">
        <v>46016</v>
      </c>
      <c r="D147" s="22">
        <v>637.5</v>
      </c>
      <c r="E147" s="14" t="s">
        <v>1202</v>
      </c>
      <c r="G147" s="14" t="s">
        <v>1421</v>
      </c>
      <c r="H147" s="14" t="s">
        <v>1687</v>
      </c>
      <c r="I147" s="23">
        <v>46017</v>
      </c>
    </row>
    <row r="148" spans="1:9" x14ac:dyDescent="0.25">
      <c r="A148" s="14" t="s">
        <v>1428</v>
      </c>
      <c r="B148" s="14" t="s">
        <v>1429</v>
      </c>
      <c r="C148" s="15">
        <v>46014</v>
      </c>
      <c r="D148" s="22">
        <v>561.66</v>
      </c>
      <c r="E148" s="14" t="s">
        <v>1202</v>
      </c>
      <c r="G148" s="14" t="s">
        <v>1430</v>
      </c>
      <c r="H148" s="14" t="s">
        <v>1688</v>
      </c>
      <c r="I148" s="23">
        <v>46015</v>
      </c>
    </row>
    <row r="149" spans="1:9" x14ac:dyDescent="0.25">
      <c r="A149" s="14" t="s">
        <v>1435</v>
      </c>
      <c r="B149" s="14" t="s">
        <v>1436</v>
      </c>
      <c r="C149" s="15">
        <v>46010</v>
      </c>
      <c r="D149" s="22">
        <v>8226.7800000000007</v>
      </c>
      <c r="E149" s="14" t="s">
        <v>1202</v>
      </c>
      <c r="G149" s="14" t="s">
        <v>1437</v>
      </c>
      <c r="H149" s="14" t="s">
        <v>1689</v>
      </c>
      <c r="I149" s="23">
        <v>46015</v>
      </c>
    </row>
    <row r="150" spans="1:9" x14ac:dyDescent="0.25">
      <c r="A150" s="14" t="s">
        <v>1438</v>
      </c>
      <c r="B150" s="14" t="s">
        <v>1439</v>
      </c>
      <c r="C150" s="15">
        <v>46010</v>
      </c>
      <c r="D150" s="22">
        <v>1547</v>
      </c>
      <c r="E150" s="14" t="s">
        <v>1202</v>
      </c>
      <c r="G150" s="14" t="s">
        <v>1440</v>
      </c>
      <c r="H150" s="14" t="s">
        <v>1690</v>
      </c>
      <c r="I150" s="23">
        <v>46012</v>
      </c>
    </row>
    <row r="151" spans="1:9" x14ac:dyDescent="0.25">
      <c r="A151" s="14" t="s">
        <v>1441</v>
      </c>
      <c r="B151" s="14" t="s">
        <v>1439</v>
      </c>
      <c r="C151" s="15">
        <v>46009</v>
      </c>
      <c r="D151" s="22">
        <v>276</v>
      </c>
      <c r="E151" s="14" t="s">
        <v>1202</v>
      </c>
      <c r="G151" s="14" t="s">
        <v>1442</v>
      </c>
      <c r="H151" s="14" t="s">
        <v>1691</v>
      </c>
      <c r="I151" s="23">
        <v>46013</v>
      </c>
    </row>
    <row r="152" spans="1:9" x14ac:dyDescent="0.25">
      <c r="A152" s="14" t="s">
        <v>1456</v>
      </c>
      <c r="B152" s="14" t="s">
        <v>1457</v>
      </c>
      <c r="C152" s="15">
        <v>46003</v>
      </c>
      <c r="D152" s="22">
        <v>20</v>
      </c>
      <c r="E152" s="14" t="s">
        <v>1202</v>
      </c>
      <c r="G152" s="14" t="s">
        <v>1458</v>
      </c>
      <c r="H152" s="14" t="s">
        <v>1692</v>
      </c>
      <c r="I152" s="23">
        <v>46008</v>
      </c>
    </row>
    <row r="153" spans="1:9" x14ac:dyDescent="0.25">
      <c r="A153" s="14" t="s">
        <v>1472</v>
      </c>
      <c r="B153" s="14" t="s">
        <v>1209</v>
      </c>
      <c r="C153" s="15">
        <v>46001</v>
      </c>
      <c r="D153" s="22">
        <v>424.69</v>
      </c>
      <c r="E153" s="14" t="s">
        <v>1202</v>
      </c>
      <c r="G153" s="14" t="s">
        <v>1473</v>
      </c>
      <c r="H153" s="14" t="s">
        <v>1693</v>
      </c>
      <c r="I153" s="23">
        <v>46006</v>
      </c>
    </row>
    <row r="154" spans="1:9" x14ac:dyDescent="0.25">
      <c r="A154" s="14" t="s">
        <v>1479</v>
      </c>
      <c r="B154" s="14" t="s">
        <v>1480</v>
      </c>
      <c r="C154" s="15">
        <v>46000</v>
      </c>
      <c r="D154" s="22">
        <v>36</v>
      </c>
      <c r="E154" s="14" t="s">
        <v>1202</v>
      </c>
      <c r="G154" s="14" t="s">
        <v>1481</v>
      </c>
      <c r="H154" s="14" t="s">
        <v>1694</v>
      </c>
      <c r="I154" s="23">
        <v>46006</v>
      </c>
    </row>
    <row r="155" spans="1:9" x14ac:dyDescent="0.25">
      <c r="A155" s="14" t="s">
        <v>1488</v>
      </c>
      <c r="B155" s="14" t="s">
        <v>1489</v>
      </c>
      <c r="C155" s="15">
        <v>45994</v>
      </c>
      <c r="D155" s="22">
        <v>254.52</v>
      </c>
      <c r="E155" s="14" t="s">
        <v>1202</v>
      </c>
      <c r="G155" s="14" t="s">
        <v>1490</v>
      </c>
      <c r="H155" s="14" t="s">
        <v>1695</v>
      </c>
      <c r="I155" s="23">
        <v>46006</v>
      </c>
    </row>
    <row r="156" spans="1:9" x14ac:dyDescent="0.25">
      <c r="A156" s="14" t="s">
        <v>1517</v>
      </c>
      <c r="B156" s="14" t="s">
        <v>1518</v>
      </c>
      <c r="C156" s="15">
        <v>45985</v>
      </c>
      <c r="D156" s="22">
        <v>8511.2900000000009</v>
      </c>
      <c r="E156" s="14" t="s">
        <v>1202</v>
      </c>
      <c r="G156" s="14" t="s">
        <v>1519</v>
      </c>
      <c r="H156" s="14" t="s">
        <v>1696</v>
      </c>
      <c r="I156" s="23">
        <v>45987</v>
      </c>
    </row>
    <row r="157" spans="1:9" x14ac:dyDescent="0.25">
      <c r="A157" s="14" t="s">
        <v>1508</v>
      </c>
      <c r="B157" s="14" t="s">
        <v>1391</v>
      </c>
      <c r="C157" s="15">
        <v>45986</v>
      </c>
      <c r="D157" s="22">
        <v>1787.07</v>
      </c>
      <c r="E157" s="14" t="s">
        <v>1202</v>
      </c>
      <c r="G157" s="14" t="s">
        <v>1509</v>
      </c>
      <c r="H157" s="14" t="s">
        <v>1697</v>
      </c>
      <c r="I157" s="23">
        <v>45987</v>
      </c>
    </row>
    <row r="158" spans="1:9" x14ac:dyDescent="0.25">
      <c r="A158" s="14" t="s">
        <v>1501</v>
      </c>
      <c r="B158" s="14" t="s">
        <v>1502</v>
      </c>
      <c r="C158" s="15">
        <v>45986</v>
      </c>
      <c r="D158" s="22">
        <v>220</v>
      </c>
      <c r="E158" s="14" t="s">
        <v>1202</v>
      </c>
      <c r="G158" s="14" t="s">
        <v>1503</v>
      </c>
      <c r="H158" s="14" t="s">
        <v>1698</v>
      </c>
      <c r="I158" s="23">
        <v>45987</v>
      </c>
    </row>
    <row r="159" spans="1:9" x14ac:dyDescent="0.25">
      <c r="A159" s="14" t="s">
        <v>1520</v>
      </c>
      <c r="B159" s="14" t="s">
        <v>1521</v>
      </c>
      <c r="C159" s="15">
        <v>45984</v>
      </c>
      <c r="D159" s="22">
        <v>2964.75</v>
      </c>
      <c r="E159" s="14" t="s">
        <v>1202</v>
      </c>
      <c r="G159" s="14" t="s">
        <v>1522</v>
      </c>
      <c r="H159" s="14" t="s">
        <v>1699</v>
      </c>
      <c r="I159" s="23">
        <v>45999</v>
      </c>
    </row>
    <row r="160" spans="1:9" x14ac:dyDescent="0.25">
      <c r="A160" s="14" t="s">
        <v>1525</v>
      </c>
      <c r="B160" s="14" t="s">
        <v>1521</v>
      </c>
      <c r="C160" s="15">
        <v>45981</v>
      </c>
      <c r="D160" s="22">
        <v>3065.12</v>
      </c>
      <c r="E160" s="14" t="s">
        <v>1202</v>
      </c>
      <c r="G160" s="14" t="s">
        <v>1526</v>
      </c>
      <c r="H160" s="14" t="s">
        <v>1700</v>
      </c>
      <c r="I160" s="23">
        <v>46001</v>
      </c>
    </row>
    <row r="161" spans="1:9" x14ac:dyDescent="0.25">
      <c r="A161" s="14" t="s">
        <v>1527</v>
      </c>
      <c r="B161" s="14" t="s">
        <v>1528</v>
      </c>
      <c r="C161" s="15">
        <v>45981</v>
      </c>
      <c r="D161" s="22">
        <v>22.5</v>
      </c>
      <c r="E161" s="14" t="s">
        <v>1202</v>
      </c>
      <c r="G161" s="14" t="s">
        <v>1529</v>
      </c>
      <c r="H161" s="14" t="s">
        <v>1701</v>
      </c>
      <c r="I161" s="23">
        <v>45984</v>
      </c>
    </row>
    <row r="162" spans="1:9" x14ac:dyDescent="0.25">
      <c r="A162" s="14" t="s">
        <v>1531</v>
      </c>
      <c r="B162" s="14" t="s">
        <v>1390</v>
      </c>
      <c r="C162" s="15">
        <v>45979</v>
      </c>
      <c r="D162" s="22">
        <v>134.84</v>
      </c>
      <c r="E162" s="14" t="s">
        <v>1202</v>
      </c>
      <c r="G162" s="14" t="s">
        <v>1532</v>
      </c>
      <c r="H162" s="14" t="s">
        <v>1702</v>
      </c>
      <c r="I162" s="23">
        <v>45981</v>
      </c>
    </row>
    <row r="163" spans="1:9" x14ac:dyDescent="0.25">
      <c r="A163" s="14" t="s">
        <v>1536</v>
      </c>
      <c r="B163" s="14" t="s">
        <v>1537</v>
      </c>
      <c r="C163" s="15">
        <v>45978</v>
      </c>
      <c r="D163" s="22">
        <v>312.89999999999998</v>
      </c>
      <c r="E163" s="14" t="s">
        <v>1202</v>
      </c>
      <c r="G163" s="14" t="s">
        <v>1538</v>
      </c>
      <c r="H163" s="14" t="s">
        <v>1703</v>
      </c>
      <c r="I163" s="23">
        <v>45984</v>
      </c>
    </row>
    <row r="164" spans="1:9" x14ac:dyDescent="0.25">
      <c r="A164" s="14" t="s">
        <v>1540</v>
      </c>
      <c r="B164" s="14" t="s">
        <v>1391</v>
      </c>
      <c r="C164" s="15">
        <v>45978</v>
      </c>
      <c r="D164" s="22">
        <v>6639.09</v>
      </c>
      <c r="E164" s="14" t="s">
        <v>1202</v>
      </c>
      <c r="G164" s="14" t="s">
        <v>1541</v>
      </c>
      <c r="H164" s="14" t="s">
        <v>1704</v>
      </c>
      <c r="I164" s="23">
        <v>45981</v>
      </c>
    </row>
    <row r="165" spans="1:9" x14ac:dyDescent="0.25">
      <c r="A165" s="14" t="s">
        <v>1546</v>
      </c>
      <c r="B165" s="14" t="s">
        <v>1489</v>
      </c>
      <c r="C165" s="15">
        <v>45978</v>
      </c>
      <c r="D165" s="22">
        <v>72.11</v>
      </c>
      <c r="E165" s="14" t="s">
        <v>1202</v>
      </c>
      <c r="G165" s="14" t="s">
        <v>1547</v>
      </c>
      <c r="H165" s="14" t="s">
        <v>1705</v>
      </c>
      <c r="I165" s="23">
        <v>45981</v>
      </c>
    </row>
    <row r="166" spans="1:9" x14ac:dyDescent="0.25">
      <c r="A166" s="14" t="s">
        <v>1228</v>
      </c>
      <c r="B166" s="14" t="s">
        <v>1229</v>
      </c>
      <c r="C166" s="15">
        <v>45972</v>
      </c>
      <c r="D166" s="22">
        <v>19.5</v>
      </c>
      <c r="E166" s="14" t="s">
        <v>1202</v>
      </c>
      <c r="G166" s="14" t="s">
        <v>1230</v>
      </c>
      <c r="H166" s="14" t="s">
        <v>1706</v>
      </c>
      <c r="I166" s="23">
        <v>45979</v>
      </c>
    </row>
    <row r="167" spans="1:9" x14ac:dyDescent="0.25">
      <c r="A167" s="14" t="s">
        <v>1203</v>
      </c>
      <c r="B167" s="14" t="s">
        <v>1204</v>
      </c>
      <c r="C167" s="15">
        <v>45975</v>
      </c>
      <c r="D167" s="22">
        <v>1812.91</v>
      </c>
      <c r="E167" s="14" t="s">
        <v>1202</v>
      </c>
      <c r="G167" s="14" t="s">
        <v>1205</v>
      </c>
      <c r="H167" s="14" t="s">
        <v>1707</v>
      </c>
      <c r="I167" s="23">
        <v>45981</v>
      </c>
    </row>
    <row r="168" spans="1:9" x14ac:dyDescent="0.25">
      <c r="A168" s="14" t="s">
        <v>1208</v>
      </c>
      <c r="B168" s="14" t="s">
        <v>1209</v>
      </c>
      <c r="C168" s="15">
        <v>45974</v>
      </c>
      <c r="D168" s="22">
        <v>208.69</v>
      </c>
      <c r="E168" s="14" t="s">
        <v>1202</v>
      </c>
      <c r="G168" s="14" t="s">
        <v>1210</v>
      </c>
      <c r="H168" s="14" t="s">
        <v>1708</v>
      </c>
      <c r="I168" s="23">
        <v>45979</v>
      </c>
    </row>
    <row r="169" spans="1:9" x14ac:dyDescent="0.25">
      <c r="A169" s="14" t="s">
        <v>1214</v>
      </c>
      <c r="B169" s="14" t="s">
        <v>1215</v>
      </c>
      <c r="C169" s="15">
        <v>45973</v>
      </c>
      <c r="D169" s="22">
        <v>48</v>
      </c>
      <c r="E169" s="14" t="s">
        <v>1202</v>
      </c>
      <c r="G169" s="14" t="s">
        <v>1216</v>
      </c>
      <c r="H169" s="14" t="s">
        <v>1709</v>
      </c>
      <c r="I169" s="23">
        <v>45979</v>
      </c>
    </row>
    <row r="170" spans="1:9" x14ac:dyDescent="0.25">
      <c r="A170" s="14" t="s">
        <v>1225</v>
      </c>
      <c r="B170" s="14" t="s">
        <v>1226</v>
      </c>
      <c r="C170" s="15">
        <v>45972</v>
      </c>
      <c r="D170" s="22">
        <v>408</v>
      </c>
      <c r="E170" s="14" t="s">
        <v>1202</v>
      </c>
      <c r="G170" s="14" t="s">
        <v>1227</v>
      </c>
      <c r="H170" s="14" t="s">
        <v>1710</v>
      </c>
      <c r="I170" s="23">
        <v>45979</v>
      </c>
    </row>
    <row r="171" spans="1:9" x14ac:dyDescent="0.25">
      <c r="A171" s="14" t="s">
        <v>1236</v>
      </c>
      <c r="B171" s="14" t="s">
        <v>1237</v>
      </c>
      <c r="C171" s="15">
        <v>45971</v>
      </c>
      <c r="D171" s="22">
        <v>106.4</v>
      </c>
      <c r="E171" s="14" t="s">
        <v>1202</v>
      </c>
      <c r="G171" s="14" t="s">
        <v>1238</v>
      </c>
      <c r="H171" s="14" t="s">
        <v>1711</v>
      </c>
      <c r="I171" s="23">
        <v>45974</v>
      </c>
    </row>
    <row r="172" spans="1:9" x14ac:dyDescent="0.25">
      <c r="A172" s="14" t="s">
        <v>1252</v>
      </c>
      <c r="B172" s="14" t="s">
        <v>1253</v>
      </c>
      <c r="C172" s="15">
        <v>45967</v>
      </c>
      <c r="D172" s="22">
        <v>2118.39</v>
      </c>
      <c r="E172" s="14" t="s">
        <v>1202</v>
      </c>
      <c r="G172" s="14" t="s">
        <v>1254</v>
      </c>
      <c r="H172" s="14" t="s">
        <v>1712</v>
      </c>
      <c r="I172" s="23">
        <v>45972</v>
      </c>
    </row>
    <row r="173" spans="1:9" x14ac:dyDescent="0.25">
      <c r="A173" s="14" t="s">
        <v>1271</v>
      </c>
      <c r="B173" s="14" t="s">
        <v>1272</v>
      </c>
      <c r="C173" s="15">
        <v>45966</v>
      </c>
      <c r="D173" s="22">
        <v>2900</v>
      </c>
      <c r="E173" s="14" t="s">
        <v>1202</v>
      </c>
      <c r="G173" s="14" t="s">
        <v>1273</v>
      </c>
      <c r="H173" s="14" t="s">
        <v>1713</v>
      </c>
      <c r="I173" s="23">
        <v>45972</v>
      </c>
    </row>
    <row r="174" spans="1:9" x14ac:dyDescent="0.25">
      <c r="A174" s="14" t="s">
        <v>1278</v>
      </c>
      <c r="B174" s="14" t="s">
        <v>1226</v>
      </c>
      <c r="C174" s="15">
        <v>45965</v>
      </c>
      <c r="D174" s="22">
        <v>510</v>
      </c>
      <c r="E174" s="14" t="s">
        <v>1202</v>
      </c>
      <c r="G174" s="14" t="s">
        <v>1279</v>
      </c>
      <c r="H174" s="14" t="s">
        <v>1714</v>
      </c>
      <c r="I174" s="23">
        <v>45965</v>
      </c>
    </row>
    <row r="175" spans="1:9" x14ac:dyDescent="0.25">
      <c r="A175" s="14" t="s">
        <v>1283</v>
      </c>
      <c r="B175" s="14" t="s">
        <v>1284</v>
      </c>
      <c r="C175" s="15">
        <v>45964</v>
      </c>
      <c r="D175" s="22">
        <v>4149.83</v>
      </c>
      <c r="E175" s="14" t="s">
        <v>1202</v>
      </c>
      <c r="G175" s="14" t="s">
        <v>1285</v>
      </c>
      <c r="H175" s="14" t="s">
        <v>1715</v>
      </c>
      <c r="I175" s="23">
        <v>45965</v>
      </c>
    </row>
    <row r="176" spans="1:9" x14ac:dyDescent="0.25">
      <c r="A176" s="14" t="s">
        <v>1288</v>
      </c>
      <c r="B176" s="14" t="s">
        <v>1289</v>
      </c>
      <c r="C176" s="15">
        <v>45964</v>
      </c>
      <c r="D176" s="22">
        <v>703.4</v>
      </c>
      <c r="E176" s="14" t="s">
        <v>1202</v>
      </c>
      <c r="G176" s="14" t="s">
        <v>1290</v>
      </c>
      <c r="H176" s="14" t="s">
        <v>1716</v>
      </c>
      <c r="I176" s="23">
        <v>45965</v>
      </c>
    </row>
    <row r="177" spans="1:9" x14ac:dyDescent="0.25">
      <c r="A177" s="14" t="s">
        <v>1291</v>
      </c>
      <c r="B177" s="14" t="s">
        <v>1292</v>
      </c>
      <c r="C177" s="15">
        <v>45961</v>
      </c>
      <c r="D177" s="22">
        <v>198</v>
      </c>
      <c r="E177" s="14" t="s">
        <v>1202</v>
      </c>
      <c r="G177" s="14" t="s">
        <v>1293</v>
      </c>
      <c r="H177" s="14" t="s">
        <v>1717</v>
      </c>
      <c r="I177" s="23">
        <v>45974</v>
      </c>
    </row>
    <row r="178" spans="1:9" x14ac:dyDescent="0.25">
      <c r="A178" s="14" t="s">
        <v>1303</v>
      </c>
      <c r="B178" s="14" t="s">
        <v>1304</v>
      </c>
      <c r="C178" s="15">
        <v>45959</v>
      </c>
      <c r="D178" s="22">
        <v>134.43</v>
      </c>
      <c r="E178" s="14" t="s">
        <v>1202</v>
      </c>
      <c r="G178" s="14" t="s">
        <v>1305</v>
      </c>
      <c r="H178" s="14" t="s">
        <v>1718</v>
      </c>
      <c r="I178" s="23">
        <v>45960</v>
      </c>
    </row>
    <row r="179" spans="1:9" x14ac:dyDescent="0.25">
      <c r="A179" s="14" t="s">
        <v>1336</v>
      </c>
      <c r="B179" s="14" t="s">
        <v>1337</v>
      </c>
      <c r="C179" s="15">
        <v>45954</v>
      </c>
      <c r="D179" s="22">
        <v>126.06</v>
      </c>
      <c r="E179" s="14" t="s">
        <v>1202</v>
      </c>
      <c r="G179" s="14" t="s">
        <v>1338</v>
      </c>
      <c r="H179" s="14" t="s">
        <v>1719</v>
      </c>
      <c r="I179" s="23">
        <v>45960</v>
      </c>
    </row>
    <row r="180" spans="1:9" x14ac:dyDescent="0.25">
      <c r="A180" s="14" t="s">
        <v>1324</v>
      </c>
      <c r="B180" s="14" t="s">
        <v>1325</v>
      </c>
      <c r="C180" s="15">
        <v>45954</v>
      </c>
      <c r="D180" s="22">
        <v>9.0399999999999991</v>
      </c>
      <c r="E180" s="14" t="s">
        <v>1202</v>
      </c>
      <c r="G180" s="14" t="s">
        <v>1326</v>
      </c>
      <c r="H180" s="14" t="s">
        <v>1720</v>
      </c>
      <c r="I180" s="23">
        <v>45965</v>
      </c>
    </row>
    <row r="181" spans="1:9" x14ac:dyDescent="0.25">
      <c r="A181" s="14" t="s">
        <v>1321</v>
      </c>
      <c r="B181" s="14" t="s">
        <v>1322</v>
      </c>
      <c r="C181" s="15">
        <v>45954</v>
      </c>
      <c r="D181" s="22">
        <v>4710.3100000000004</v>
      </c>
      <c r="E181" s="14" t="s">
        <v>1202</v>
      </c>
      <c r="G181" s="14" t="s">
        <v>1323</v>
      </c>
      <c r="H181" s="14" t="s">
        <v>1721</v>
      </c>
      <c r="I181" s="23">
        <v>45960</v>
      </c>
    </row>
    <row r="182" spans="1:9" x14ac:dyDescent="0.25">
      <c r="A182" s="14" t="s">
        <v>1308</v>
      </c>
      <c r="B182" s="14" t="s">
        <v>1309</v>
      </c>
      <c r="C182" s="15">
        <v>45958</v>
      </c>
      <c r="D182" s="22">
        <v>89.52</v>
      </c>
      <c r="E182" s="14" t="s">
        <v>1202</v>
      </c>
      <c r="G182" s="14" t="s">
        <v>1310</v>
      </c>
      <c r="H182" s="14" t="s">
        <v>1722</v>
      </c>
      <c r="I182" s="23">
        <v>45960</v>
      </c>
    </row>
    <row r="183" spans="1:9" x14ac:dyDescent="0.25">
      <c r="A183" s="14" t="s">
        <v>1315</v>
      </c>
      <c r="B183" s="14" t="s">
        <v>1316</v>
      </c>
      <c r="C183" s="15">
        <v>45957</v>
      </c>
      <c r="D183" s="22">
        <v>1141.8800000000001</v>
      </c>
      <c r="E183" s="14" t="s">
        <v>1202</v>
      </c>
      <c r="G183" s="14" t="s">
        <v>1317</v>
      </c>
      <c r="H183" s="14" t="s">
        <v>1723</v>
      </c>
      <c r="I183" s="23">
        <v>45960</v>
      </c>
    </row>
    <row r="184" spans="1:9" x14ac:dyDescent="0.25">
      <c r="A184" s="14" t="s">
        <v>1333</v>
      </c>
      <c r="B184" s="14" t="s">
        <v>1334</v>
      </c>
      <c r="C184" s="15">
        <v>45954</v>
      </c>
      <c r="D184" s="22">
        <v>125</v>
      </c>
      <c r="E184" s="14" t="s">
        <v>1202</v>
      </c>
      <c r="G184" s="14" t="s">
        <v>1335</v>
      </c>
      <c r="H184" s="14" t="s">
        <v>1724</v>
      </c>
      <c r="I184" s="23">
        <v>45960</v>
      </c>
    </row>
    <row r="185" spans="1:9" x14ac:dyDescent="0.25">
      <c r="A185" s="14" t="s">
        <v>1330</v>
      </c>
      <c r="B185" s="14" t="s">
        <v>1331</v>
      </c>
      <c r="C185" s="15">
        <v>45954</v>
      </c>
      <c r="D185" s="22">
        <v>2.75</v>
      </c>
      <c r="E185" s="14" t="s">
        <v>1202</v>
      </c>
      <c r="G185" s="14" t="s">
        <v>1332</v>
      </c>
      <c r="H185" s="14" t="s">
        <v>1725</v>
      </c>
      <c r="I185" s="23">
        <v>45960</v>
      </c>
    </row>
    <row r="186" spans="1:9" x14ac:dyDescent="0.25">
      <c r="A186" s="14" t="s">
        <v>1352</v>
      </c>
      <c r="B186" s="14" t="s">
        <v>1353</v>
      </c>
      <c r="C186" s="15">
        <v>45953</v>
      </c>
      <c r="D186" s="22">
        <v>3932.17</v>
      </c>
      <c r="E186" s="14" t="s">
        <v>1202</v>
      </c>
      <c r="G186" s="14" t="s">
        <v>1354</v>
      </c>
      <c r="H186" s="14" t="s">
        <v>1726</v>
      </c>
      <c r="I186" s="23">
        <v>45956</v>
      </c>
    </row>
    <row r="187" spans="1:9" x14ac:dyDescent="0.25">
      <c r="A187" s="14" t="s">
        <v>1364</v>
      </c>
      <c r="B187" s="14" t="s">
        <v>1365</v>
      </c>
      <c r="C187" s="15">
        <v>45950</v>
      </c>
      <c r="D187" s="22">
        <v>705.64</v>
      </c>
      <c r="E187" s="14" t="s">
        <v>1202</v>
      </c>
      <c r="G187" s="14" t="s">
        <v>1366</v>
      </c>
      <c r="H187" s="14" t="s">
        <v>1727</v>
      </c>
      <c r="I187" s="23">
        <v>45950</v>
      </c>
    </row>
    <row r="188" spans="1:9" x14ac:dyDescent="0.25">
      <c r="A188" s="14" t="s">
        <v>1375</v>
      </c>
      <c r="B188" s="14" t="s">
        <v>1215</v>
      </c>
      <c r="C188" s="15">
        <v>45947</v>
      </c>
      <c r="D188" s="22">
        <v>78.28</v>
      </c>
      <c r="E188" s="14" t="s">
        <v>1202</v>
      </c>
      <c r="G188" s="14" t="s">
        <v>1376</v>
      </c>
      <c r="H188" s="14" t="s">
        <v>1728</v>
      </c>
      <c r="I188" s="23">
        <v>45950</v>
      </c>
    </row>
    <row r="189" spans="1:9" x14ac:dyDescent="0.25">
      <c r="A189" s="14" t="s">
        <v>1412</v>
      </c>
      <c r="B189" s="14" t="s">
        <v>1413</v>
      </c>
      <c r="C189" s="15">
        <v>46020</v>
      </c>
      <c r="D189" s="22">
        <v>4</v>
      </c>
      <c r="E189" s="14" t="s">
        <v>1202</v>
      </c>
    </row>
    <row r="487" spans="1:1" x14ac:dyDescent="0.25">
      <c r="A487" t="s">
        <v>1152</v>
      </c>
    </row>
    <row r="488" spans="1:1" x14ac:dyDescent="0.25">
      <c r="A488" t="s">
        <v>1157</v>
      </c>
    </row>
    <row r="489" spans="1:1" x14ac:dyDescent="0.25">
      <c r="A489" t="s">
        <v>1162</v>
      </c>
    </row>
    <row r="490" spans="1:1" x14ac:dyDescent="0.25">
      <c r="A490" t="s">
        <v>1163</v>
      </c>
    </row>
    <row r="491" spans="1:1" x14ac:dyDescent="0.25">
      <c r="A491" t="s">
        <v>1164</v>
      </c>
    </row>
    <row r="492" spans="1:1" x14ac:dyDescent="0.25">
      <c r="A492" t="s">
        <v>1165</v>
      </c>
    </row>
    <row r="493" spans="1:1" x14ac:dyDescent="0.25">
      <c r="A493" t="s">
        <v>1166</v>
      </c>
    </row>
    <row r="494" spans="1:1" x14ac:dyDescent="0.25">
      <c r="A494" t="s">
        <v>1167</v>
      </c>
    </row>
    <row r="495" spans="1:1" x14ac:dyDescent="0.25">
      <c r="A495" t="s">
        <v>1168</v>
      </c>
    </row>
    <row r="496" spans="1:1" x14ac:dyDescent="0.25">
      <c r="A496" t="s">
        <v>1170</v>
      </c>
    </row>
    <row r="497" spans="1:1" x14ac:dyDescent="0.25">
      <c r="A497" t="s">
        <v>1171</v>
      </c>
    </row>
    <row r="498" spans="1:1" x14ac:dyDescent="0.25">
      <c r="A498" t="s">
        <v>1172</v>
      </c>
    </row>
    <row r="499" spans="1:1" x14ac:dyDescent="0.25">
      <c r="A499" t="s">
        <v>1173</v>
      </c>
    </row>
    <row r="500" spans="1:1" x14ac:dyDescent="0.25">
      <c r="A500" t="s">
        <v>1174</v>
      </c>
    </row>
    <row r="501" spans="1:1" x14ac:dyDescent="0.25">
      <c r="A501" t="s">
        <v>1176</v>
      </c>
    </row>
    <row r="502" spans="1:1" x14ac:dyDescent="0.25">
      <c r="A502" t="s">
        <v>1177</v>
      </c>
    </row>
    <row r="503" spans="1:1" x14ac:dyDescent="0.25">
      <c r="A503" t="s">
        <v>1178</v>
      </c>
    </row>
    <row r="504" spans="1:1" x14ac:dyDescent="0.25">
      <c r="A504" t="s">
        <v>1179</v>
      </c>
    </row>
    <row r="505" spans="1:1" x14ac:dyDescent="0.25">
      <c r="A505" t="s">
        <v>1180</v>
      </c>
    </row>
    <row r="506" spans="1:1" x14ac:dyDescent="0.25">
      <c r="A506" t="s">
        <v>1181</v>
      </c>
    </row>
    <row r="507" spans="1:1" x14ac:dyDescent="0.25">
      <c r="A507" t="s">
        <v>1182</v>
      </c>
    </row>
    <row r="508" spans="1:1" x14ac:dyDescent="0.25">
      <c r="A508" t="s">
        <v>1183</v>
      </c>
    </row>
    <row r="509" spans="1:1" x14ac:dyDescent="0.25">
      <c r="A509" t="s">
        <v>1185</v>
      </c>
    </row>
    <row r="510" spans="1:1" x14ac:dyDescent="0.25">
      <c r="A510" t="s">
        <v>1186</v>
      </c>
    </row>
    <row r="511" spans="1:1" x14ac:dyDescent="0.25">
      <c r="A511" t="s">
        <v>1187</v>
      </c>
    </row>
    <row r="512" spans="1:1" x14ac:dyDescent="0.25">
      <c r="A512" t="s">
        <v>1188</v>
      </c>
    </row>
    <row r="513" spans="1:1" x14ac:dyDescent="0.25">
      <c r="A513" t="s">
        <v>1158</v>
      </c>
    </row>
    <row r="514" spans="1:1" x14ac:dyDescent="0.25">
      <c r="A514" t="s">
        <v>1147</v>
      </c>
    </row>
    <row r="515" spans="1:1" x14ac:dyDescent="0.25">
      <c r="A515" t="s">
        <v>1153</v>
      </c>
    </row>
    <row r="516" spans="1:1" x14ac:dyDescent="0.25">
      <c r="A516" t="s">
        <v>1145</v>
      </c>
    </row>
    <row r="517" spans="1:1" x14ac:dyDescent="0.25">
      <c r="A517" t="s">
        <v>1150</v>
      </c>
    </row>
    <row r="518" spans="1:1" x14ac:dyDescent="0.25">
      <c r="A518" t="s">
        <v>1143</v>
      </c>
    </row>
    <row r="519" spans="1:1" x14ac:dyDescent="0.25">
      <c r="A519" t="s">
        <v>328</v>
      </c>
    </row>
    <row r="520" spans="1:1" x14ac:dyDescent="0.25">
      <c r="A520" t="s">
        <v>1141</v>
      </c>
    </row>
    <row r="521" spans="1:1" x14ac:dyDescent="0.25">
      <c r="A521" t="s">
        <v>332</v>
      </c>
    </row>
    <row r="522" spans="1:1" x14ac:dyDescent="0.25">
      <c r="A522" t="s">
        <v>323</v>
      </c>
    </row>
    <row r="523" spans="1:1" x14ac:dyDescent="0.25">
      <c r="A523" t="s">
        <v>323</v>
      </c>
    </row>
    <row r="524" spans="1:1" x14ac:dyDescent="0.25">
      <c r="A524" t="s">
        <v>323</v>
      </c>
    </row>
    <row r="525" spans="1:1" x14ac:dyDescent="0.25">
      <c r="A525" t="s">
        <v>1138</v>
      </c>
    </row>
    <row r="526" spans="1:1" x14ac:dyDescent="0.25">
      <c r="A526" t="s">
        <v>337</v>
      </c>
    </row>
    <row r="527" spans="1:1" x14ac:dyDescent="0.25">
      <c r="A527" t="s">
        <v>337</v>
      </c>
    </row>
    <row r="528" spans="1:1" x14ac:dyDescent="0.25">
      <c r="A528" t="s">
        <v>1136</v>
      </c>
    </row>
    <row r="529" spans="1:1" x14ac:dyDescent="0.25">
      <c r="A529" t="s">
        <v>328</v>
      </c>
    </row>
    <row r="530" spans="1:1" x14ac:dyDescent="0.25">
      <c r="A530" t="s">
        <v>1133</v>
      </c>
    </row>
    <row r="531" spans="1:1" x14ac:dyDescent="0.25">
      <c r="A531" t="s">
        <v>332</v>
      </c>
    </row>
    <row r="532" spans="1:1" x14ac:dyDescent="0.25">
      <c r="A532" t="s">
        <v>1130</v>
      </c>
    </row>
    <row r="533" spans="1:1" x14ac:dyDescent="0.25">
      <c r="A533" t="s">
        <v>341</v>
      </c>
    </row>
    <row r="534" spans="1:1" x14ac:dyDescent="0.25">
      <c r="A534" t="s">
        <v>341</v>
      </c>
    </row>
    <row r="535" spans="1:1" x14ac:dyDescent="0.25">
      <c r="A535" t="s">
        <v>341</v>
      </c>
    </row>
    <row r="536" spans="1:1" x14ac:dyDescent="0.25">
      <c r="A536" t="s">
        <v>341</v>
      </c>
    </row>
    <row r="537" spans="1:1" x14ac:dyDescent="0.25">
      <c r="A537" t="s">
        <v>341</v>
      </c>
    </row>
    <row r="538" spans="1:1" x14ac:dyDescent="0.25">
      <c r="A538" t="s">
        <v>1127</v>
      </c>
    </row>
    <row r="539" spans="1:1" x14ac:dyDescent="0.25">
      <c r="A539" t="s">
        <v>1125</v>
      </c>
    </row>
    <row r="540" spans="1:1" x14ac:dyDescent="0.25">
      <c r="A540" t="s">
        <v>357</v>
      </c>
    </row>
    <row r="541" spans="1:1" x14ac:dyDescent="0.25">
      <c r="A541" t="s">
        <v>357</v>
      </c>
    </row>
    <row r="542" spans="1:1" x14ac:dyDescent="0.25">
      <c r="A542" t="s">
        <v>357</v>
      </c>
    </row>
    <row r="543" spans="1:1" x14ac:dyDescent="0.25">
      <c r="A543" t="s">
        <v>1122</v>
      </c>
    </row>
    <row r="544" spans="1:1" x14ac:dyDescent="0.25">
      <c r="A544" t="s">
        <v>1119</v>
      </c>
    </row>
    <row r="545" spans="1:1" x14ac:dyDescent="0.25">
      <c r="A545" t="s">
        <v>1116</v>
      </c>
    </row>
    <row r="546" spans="1:1" x14ac:dyDescent="0.25">
      <c r="A546" t="s">
        <v>357</v>
      </c>
    </row>
    <row r="547" spans="1:1" x14ac:dyDescent="0.25">
      <c r="A547" t="s">
        <v>357</v>
      </c>
    </row>
    <row r="548" spans="1:1" x14ac:dyDescent="0.25">
      <c r="A548" t="s">
        <v>1113</v>
      </c>
    </row>
    <row r="549" spans="1:1" x14ac:dyDescent="0.25">
      <c r="A549" t="s">
        <v>388</v>
      </c>
    </row>
    <row r="550" spans="1:1" x14ac:dyDescent="0.25">
      <c r="A550" t="s">
        <v>1111</v>
      </c>
    </row>
    <row r="551" spans="1:1" x14ac:dyDescent="0.25">
      <c r="A551" t="s">
        <v>1108</v>
      </c>
    </row>
    <row r="552" spans="1:1" x14ac:dyDescent="0.25">
      <c r="A552" t="s">
        <v>1106</v>
      </c>
    </row>
    <row r="553" spans="1:1" x14ac:dyDescent="0.25">
      <c r="A553" t="s">
        <v>368</v>
      </c>
    </row>
    <row r="554" spans="1:1" x14ac:dyDescent="0.25">
      <c r="A554" t="s">
        <v>368</v>
      </c>
    </row>
    <row r="555" spans="1:1" x14ac:dyDescent="0.25">
      <c r="A555" t="s">
        <v>1103</v>
      </c>
    </row>
    <row r="556" spans="1:1" x14ac:dyDescent="0.25">
      <c r="A556" t="s">
        <v>352</v>
      </c>
    </row>
    <row r="557" spans="1:1" x14ac:dyDescent="0.25">
      <c r="A557" t="s">
        <v>1100</v>
      </c>
    </row>
    <row r="558" spans="1:1" x14ac:dyDescent="0.25">
      <c r="A558" t="s">
        <v>1097</v>
      </c>
    </row>
    <row r="559" spans="1:1" x14ac:dyDescent="0.25">
      <c r="A559" t="s">
        <v>1095</v>
      </c>
    </row>
    <row r="560" spans="1:1" x14ac:dyDescent="0.25">
      <c r="A560" t="s">
        <v>1093</v>
      </c>
    </row>
    <row r="561" spans="1:1" x14ac:dyDescent="0.25">
      <c r="A561" t="s">
        <v>393</v>
      </c>
    </row>
    <row r="562" spans="1:1" x14ac:dyDescent="0.25">
      <c r="A562" t="s">
        <v>1090</v>
      </c>
    </row>
    <row r="563" spans="1:1" x14ac:dyDescent="0.25">
      <c r="A563" t="s">
        <v>1087</v>
      </c>
    </row>
    <row r="564" spans="1:1" x14ac:dyDescent="0.25">
      <c r="A564" t="s">
        <v>1084</v>
      </c>
    </row>
    <row r="565" spans="1:1" x14ac:dyDescent="0.25">
      <c r="A565" t="s">
        <v>1081</v>
      </c>
    </row>
    <row r="566" spans="1:1" x14ac:dyDescent="0.25">
      <c r="A566" t="s">
        <v>393</v>
      </c>
    </row>
    <row r="567" spans="1:1" x14ac:dyDescent="0.25">
      <c r="A567" t="s">
        <v>352</v>
      </c>
    </row>
    <row r="568" spans="1:1" x14ac:dyDescent="0.25">
      <c r="A568" t="s">
        <v>357</v>
      </c>
    </row>
    <row r="569" spans="1:1" x14ac:dyDescent="0.25">
      <c r="A569" t="s">
        <v>393</v>
      </c>
    </row>
    <row r="570" spans="1:1" x14ac:dyDescent="0.25">
      <c r="A570" t="s">
        <v>1078</v>
      </c>
    </row>
    <row r="571" spans="1:1" x14ac:dyDescent="0.25">
      <c r="A571" t="s">
        <v>1075</v>
      </c>
    </row>
    <row r="572" spans="1:1" x14ac:dyDescent="0.25">
      <c r="A572" t="s">
        <v>368</v>
      </c>
    </row>
    <row r="573" spans="1:1" x14ac:dyDescent="0.25">
      <c r="A573" t="s">
        <v>375</v>
      </c>
    </row>
    <row r="574" spans="1:1" x14ac:dyDescent="0.25">
      <c r="A574" t="s">
        <v>375</v>
      </c>
    </row>
    <row r="575" spans="1:1" x14ac:dyDescent="0.25">
      <c r="A575" t="s">
        <v>375</v>
      </c>
    </row>
    <row r="576" spans="1:1" x14ac:dyDescent="0.25">
      <c r="A576" t="s">
        <v>1072</v>
      </c>
    </row>
    <row r="577" spans="1:1" x14ac:dyDescent="0.25">
      <c r="A577" t="s">
        <v>1069</v>
      </c>
    </row>
    <row r="578" spans="1:1" x14ac:dyDescent="0.25">
      <c r="A578" t="s">
        <v>388</v>
      </c>
    </row>
    <row r="579" spans="1:1" x14ac:dyDescent="0.25">
      <c r="A579" t="s">
        <v>388</v>
      </c>
    </row>
    <row r="580" spans="1:1" x14ac:dyDescent="0.25">
      <c r="A580" t="s">
        <v>1066</v>
      </c>
    </row>
    <row r="581" spans="1:1" x14ac:dyDescent="0.25">
      <c r="A581" t="s">
        <v>400</v>
      </c>
    </row>
    <row r="582" spans="1:1" x14ac:dyDescent="0.25">
      <c r="A582" t="s">
        <v>1063</v>
      </c>
    </row>
    <row r="583" spans="1:1" x14ac:dyDescent="0.25">
      <c r="A583" t="s">
        <v>381</v>
      </c>
    </row>
    <row r="584" spans="1:1" x14ac:dyDescent="0.25">
      <c r="A584" t="s">
        <v>381</v>
      </c>
    </row>
    <row r="585" spans="1:1" x14ac:dyDescent="0.25">
      <c r="A585" t="s">
        <v>381</v>
      </c>
    </row>
    <row r="586" spans="1:1" x14ac:dyDescent="0.25">
      <c r="A586" t="s">
        <v>1061</v>
      </c>
    </row>
    <row r="587" spans="1:1" x14ac:dyDescent="0.25">
      <c r="A587" t="s">
        <v>400</v>
      </c>
    </row>
    <row r="588" spans="1:1" x14ac:dyDescent="0.25">
      <c r="A588" t="s">
        <v>400</v>
      </c>
    </row>
    <row r="589" spans="1:1" x14ac:dyDescent="0.25">
      <c r="A589" t="s">
        <v>1058</v>
      </c>
    </row>
    <row r="590" spans="1:1" x14ac:dyDescent="0.25">
      <c r="A590" t="s">
        <v>407</v>
      </c>
    </row>
    <row r="591" spans="1:1" x14ac:dyDescent="0.25">
      <c r="A591" t="s">
        <v>407</v>
      </c>
    </row>
    <row r="592" spans="1:1" x14ac:dyDescent="0.25">
      <c r="A592" t="s">
        <v>407</v>
      </c>
    </row>
    <row r="593" spans="1:1" x14ac:dyDescent="0.25">
      <c r="A593" t="s">
        <v>407</v>
      </c>
    </row>
    <row r="594" spans="1:1" x14ac:dyDescent="0.25">
      <c r="A594" t="s">
        <v>1055</v>
      </c>
    </row>
    <row r="595" spans="1:1" x14ac:dyDescent="0.25">
      <c r="A595" t="s">
        <v>415</v>
      </c>
    </row>
    <row r="596" spans="1:1" x14ac:dyDescent="0.25">
      <c r="A596" t="s">
        <v>1052</v>
      </c>
    </row>
    <row r="597" spans="1:1" x14ac:dyDescent="0.25">
      <c r="A597" t="s">
        <v>434</v>
      </c>
    </row>
    <row r="598" spans="1:1" x14ac:dyDescent="0.25">
      <c r="A598" t="s">
        <v>1049</v>
      </c>
    </row>
    <row r="599" spans="1:1" x14ac:dyDescent="0.25">
      <c r="A599" t="s">
        <v>415</v>
      </c>
    </row>
    <row r="600" spans="1:1" x14ac:dyDescent="0.25">
      <c r="A600" t="s">
        <v>415</v>
      </c>
    </row>
    <row r="601" spans="1:1" x14ac:dyDescent="0.25">
      <c r="A601" t="s">
        <v>1046</v>
      </c>
    </row>
    <row r="602" spans="1:1" x14ac:dyDescent="0.25">
      <c r="A602" t="s">
        <v>1043</v>
      </c>
    </row>
    <row r="603" spans="1:1" x14ac:dyDescent="0.25">
      <c r="A603" t="s">
        <v>420</v>
      </c>
    </row>
    <row r="604" spans="1:1" x14ac:dyDescent="0.25">
      <c r="A604" t="s">
        <v>420</v>
      </c>
    </row>
    <row r="605" spans="1:1" x14ac:dyDescent="0.25">
      <c r="A605" t="s">
        <v>1040</v>
      </c>
    </row>
    <row r="606" spans="1:1" x14ac:dyDescent="0.25">
      <c r="A606" t="s">
        <v>1037</v>
      </c>
    </row>
    <row r="607" spans="1:1" x14ac:dyDescent="0.25">
      <c r="A607" t="s">
        <v>425</v>
      </c>
    </row>
    <row r="608" spans="1:1" x14ac:dyDescent="0.25">
      <c r="A608" t="s">
        <v>1034</v>
      </c>
    </row>
    <row r="609" spans="1:1" x14ac:dyDescent="0.25">
      <c r="A609" t="s">
        <v>425</v>
      </c>
    </row>
    <row r="610" spans="1:1" x14ac:dyDescent="0.25">
      <c r="A610" t="s">
        <v>425</v>
      </c>
    </row>
    <row r="611" spans="1:1" x14ac:dyDescent="0.25">
      <c r="A611" t="s">
        <v>439</v>
      </c>
    </row>
    <row r="612" spans="1:1" x14ac:dyDescent="0.25">
      <c r="A612" t="s">
        <v>425</v>
      </c>
    </row>
    <row r="613" spans="1:1" x14ac:dyDescent="0.25">
      <c r="A613" t="s">
        <v>439</v>
      </c>
    </row>
    <row r="614" spans="1:1" x14ac:dyDescent="0.25">
      <c r="A614" t="s">
        <v>439</v>
      </c>
    </row>
    <row r="615" spans="1:1" x14ac:dyDescent="0.25">
      <c r="A615" t="s">
        <v>439</v>
      </c>
    </row>
    <row r="616" spans="1:1" x14ac:dyDescent="0.25">
      <c r="A616" t="s">
        <v>1031</v>
      </c>
    </row>
    <row r="617" spans="1:1" x14ac:dyDescent="0.25">
      <c r="A617" t="s">
        <v>1028</v>
      </c>
    </row>
    <row r="618" spans="1:1" x14ac:dyDescent="0.25">
      <c r="A618" t="s">
        <v>434</v>
      </c>
    </row>
    <row r="619" spans="1:1" x14ac:dyDescent="0.25">
      <c r="A619" t="s">
        <v>1025</v>
      </c>
    </row>
    <row r="620" spans="1:1" x14ac:dyDescent="0.25">
      <c r="A620" t="s">
        <v>1022</v>
      </c>
    </row>
    <row r="621" spans="1:1" x14ac:dyDescent="0.25">
      <c r="A621" t="s">
        <v>1019</v>
      </c>
    </row>
    <row r="622" spans="1:1" x14ac:dyDescent="0.25">
      <c r="A622" t="s">
        <v>448</v>
      </c>
    </row>
    <row r="623" spans="1:1" x14ac:dyDescent="0.25">
      <c r="A623" t="s">
        <v>448</v>
      </c>
    </row>
    <row r="624" spans="1:1" x14ac:dyDescent="0.25">
      <c r="A624" t="s">
        <v>448</v>
      </c>
    </row>
    <row r="625" spans="1:1" x14ac:dyDescent="0.25">
      <c r="A625" t="s">
        <v>448</v>
      </c>
    </row>
    <row r="626" spans="1:1" x14ac:dyDescent="0.25">
      <c r="A626" t="s">
        <v>1016</v>
      </c>
    </row>
    <row r="627" spans="1:1" x14ac:dyDescent="0.25">
      <c r="A627" t="s">
        <v>1013</v>
      </c>
    </row>
    <row r="628" spans="1:1" x14ac:dyDescent="0.25">
      <c r="A628" t="s">
        <v>1010</v>
      </c>
    </row>
    <row r="629" spans="1:1" x14ac:dyDescent="0.25">
      <c r="A629" t="s">
        <v>1008</v>
      </c>
    </row>
    <row r="630" spans="1:1" x14ac:dyDescent="0.25">
      <c r="A630" t="s">
        <v>1005</v>
      </c>
    </row>
    <row r="631" spans="1:1" x14ac:dyDescent="0.25">
      <c r="A631" t="s">
        <v>1002</v>
      </c>
    </row>
    <row r="632" spans="1:1" x14ac:dyDescent="0.25">
      <c r="A632" t="s">
        <v>999</v>
      </c>
    </row>
    <row r="633" spans="1:1" x14ac:dyDescent="0.25">
      <c r="A633" t="s">
        <v>996</v>
      </c>
    </row>
    <row r="634" spans="1:1" x14ac:dyDescent="0.25">
      <c r="A634" t="s">
        <v>993</v>
      </c>
    </row>
    <row r="635" spans="1:1" x14ac:dyDescent="0.25">
      <c r="A635" t="s">
        <v>990</v>
      </c>
    </row>
    <row r="636" spans="1:1" x14ac:dyDescent="0.25">
      <c r="A636" t="s">
        <v>987</v>
      </c>
    </row>
    <row r="637" spans="1:1" x14ac:dyDescent="0.25">
      <c r="A637" t="s">
        <v>984</v>
      </c>
    </row>
    <row r="638" spans="1:1" x14ac:dyDescent="0.25">
      <c r="A638" t="s">
        <v>981</v>
      </c>
    </row>
    <row r="639" spans="1:1" x14ac:dyDescent="0.25">
      <c r="A639" t="s">
        <v>979</v>
      </c>
    </row>
    <row r="640" spans="1:1" x14ac:dyDescent="0.25">
      <c r="A640" t="s">
        <v>457</v>
      </c>
    </row>
    <row r="641" spans="1:1" x14ac:dyDescent="0.25">
      <c r="A641" t="s">
        <v>457</v>
      </c>
    </row>
    <row r="642" spans="1:1" x14ac:dyDescent="0.25">
      <c r="A642" t="s">
        <v>457</v>
      </c>
    </row>
    <row r="643" spans="1:1" x14ac:dyDescent="0.25">
      <c r="A643" t="s">
        <v>457</v>
      </c>
    </row>
    <row r="644" spans="1:1" x14ac:dyDescent="0.25">
      <c r="A644" t="s">
        <v>976</v>
      </c>
    </row>
    <row r="645" spans="1:1" x14ac:dyDescent="0.25">
      <c r="A645" t="s">
        <v>583</v>
      </c>
    </row>
    <row r="646" spans="1:1" x14ac:dyDescent="0.25">
      <c r="A646" t="s">
        <v>973</v>
      </c>
    </row>
    <row r="647" spans="1:1" x14ac:dyDescent="0.25">
      <c r="A647" t="s">
        <v>464</v>
      </c>
    </row>
    <row r="648" spans="1:1" x14ac:dyDescent="0.25">
      <c r="A648" t="s">
        <v>464</v>
      </c>
    </row>
    <row r="649" spans="1:1" x14ac:dyDescent="0.25">
      <c r="A649" t="s">
        <v>970</v>
      </c>
    </row>
    <row r="650" spans="1:1" x14ac:dyDescent="0.25">
      <c r="A650" t="s">
        <v>464</v>
      </c>
    </row>
    <row r="651" spans="1:1" x14ac:dyDescent="0.25">
      <c r="A651" t="s">
        <v>464</v>
      </c>
    </row>
    <row r="652" spans="1:1" x14ac:dyDescent="0.25">
      <c r="A652" t="s">
        <v>464</v>
      </c>
    </row>
    <row r="653" spans="1:1" x14ac:dyDescent="0.25">
      <c r="A653" t="s">
        <v>693</v>
      </c>
    </row>
    <row r="654" spans="1:1" x14ac:dyDescent="0.25">
      <c r="A654" t="s">
        <v>693</v>
      </c>
    </row>
    <row r="655" spans="1:1" x14ac:dyDescent="0.25">
      <c r="A655" t="s">
        <v>482</v>
      </c>
    </row>
    <row r="656" spans="1:1" x14ac:dyDescent="0.25">
      <c r="A656" t="s">
        <v>967</v>
      </c>
    </row>
    <row r="657" spans="1:1" x14ac:dyDescent="0.25">
      <c r="A657" t="s">
        <v>515</v>
      </c>
    </row>
    <row r="658" spans="1:1" x14ac:dyDescent="0.25">
      <c r="A658" t="s">
        <v>501</v>
      </c>
    </row>
    <row r="659" spans="1:1" x14ac:dyDescent="0.25">
      <c r="A659" t="s">
        <v>475</v>
      </c>
    </row>
    <row r="660" spans="1:1" x14ac:dyDescent="0.25">
      <c r="A660" t="s">
        <v>964</v>
      </c>
    </row>
    <row r="661" spans="1:1" x14ac:dyDescent="0.25">
      <c r="A661" t="s">
        <v>961</v>
      </c>
    </row>
    <row r="662" spans="1:1" x14ac:dyDescent="0.25">
      <c r="A662" t="s">
        <v>475</v>
      </c>
    </row>
    <row r="663" spans="1:1" x14ac:dyDescent="0.25">
      <c r="A663" t="s">
        <v>475</v>
      </c>
    </row>
    <row r="664" spans="1:1" x14ac:dyDescent="0.25">
      <c r="A664" t="s">
        <v>959</v>
      </c>
    </row>
    <row r="665" spans="1:1" x14ac:dyDescent="0.25">
      <c r="A665" t="s">
        <v>494</v>
      </c>
    </row>
    <row r="666" spans="1:1" x14ac:dyDescent="0.25">
      <c r="A666" t="s">
        <v>956</v>
      </c>
    </row>
    <row r="667" spans="1:1" x14ac:dyDescent="0.25">
      <c r="A667" t="s">
        <v>953</v>
      </c>
    </row>
    <row r="668" spans="1:1" x14ac:dyDescent="0.25">
      <c r="A668" t="s">
        <v>487</v>
      </c>
    </row>
    <row r="669" spans="1:1" x14ac:dyDescent="0.25">
      <c r="A669" t="s">
        <v>487</v>
      </c>
    </row>
    <row r="670" spans="1:1" x14ac:dyDescent="0.25">
      <c r="A670" t="s">
        <v>950</v>
      </c>
    </row>
    <row r="671" spans="1:1" x14ac:dyDescent="0.25">
      <c r="A671" t="s">
        <v>947</v>
      </c>
    </row>
    <row r="672" spans="1:1" x14ac:dyDescent="0.25">
      <c r="A672" t="s">
        <v>487</v>
      </c>
    </row>
    <row r="673" spans="1:1" x14ac:dyDescent="0.25">
      <c r="A673" t="s">
        <v>482</v>
      </c>
    </row>
    <row r="674" spans="1:1" x14ac:dyDescent="0.25">
      <c r="A674" t="s">
        <v>944</v>
      </c>
    </row>
    <row r="675" spans="1:1" x14ac:dyDescent="0.25">
      <c r="A675" t="s">
        <v>515</v>
      </c>
    </row>
    <row r="676" spans="1:1" x14ac:dyDescent="0.25">
      <c r="A676" t="s">
        <v>508</v>
      </c>
    </row>
    <row r="677" spans="1:1" x14ac:dyDescent="0.25">
      <c r="A677" t="s">
        <v>508</v>
      </c>
    </row>
    <row r="678" spans="1:1" x14ac:dyDescent="0.25">
      <c r="A678" t="s">
        <v>942</v>
      </c>
    </row>
    <row r="679" spans="1:1" x14ac:dyDescent="0.25">
      <c r="A679" t="s">
        <v>939</v>
      </c>
    </row>
    <row r="680" spans="1:1" x14ac:dyDescent="0.25">
      <c r="A680" t="s">
        <v>936</v>
      </c>
    </row>
    <row r="681" spans="1:1" x14ac:dyDescent="0.25">
      <c r="A681" t="s">
        <v>508</v>
      </c>
    </row>
    <row r="682" spans="1:1" x14ac:dyDescent="0.25">
      <c r="A682" t="s">
        <v>508</v>
      </c>
    </row>
    <row r="683" spans="1:1" x14ac:dyDescent="0.25">
      <c r="A683" t="s">
        <v>578</v>
      </c>
    </row>
    <row r="684" spans="1:1" x14ac:dyDescent="0.25">
      <c r="A684" t="s">
        <v>515</v>
      </c>
    </row>
    <row r="685" spans="1:1" x14ac:dyDescent="0.25">
      <c r="A685" t="s">
        <v>515</v>
      </c>
    </row>
    <row r="686" spans="1:1" x14ac:dyDescent="0.25">
      <c r="A686" t="s">
        <v>515</v>
      </c>
    </row>
    <row r="687" spans="1:1" x14ac:dyDescent="0.25">
      <c r="A687" t="s">
        <v>933</v>
      </c>
    </row>
    <row r="688" spans="1:1" x14ac:dyDescent="0.25">
      <c r="A688" t="s">
        <v>930</v>
      </c>
    </row>
    <row r="689" spans="1:1" x14ac:dyDescent="0.25">
      <c r="A689" t="s">
        <v>927</v>
      </c>
    </row>
    <row r="690" spans="1:1" x14ac:dyDescent="0.25">
      <c r="A690" t="s">
        <v>924</v>
      </c>
    </row>
    <row r="691" spans="1:1" x14ac:dyDescent="0.25">
      <c r="A691" t="s">
        <v>494</v>
      </c>
    </row>
    <row r="692" spans="1:1" x14ac:dyDescent="0.25">
      <c r="A692" t="s">
        <v>501</v>
      </c>
    </row>
    <row r="693" spans="1:1" x14ac:dyDescent="0.25">
      <c r="A693" t="s">
        <v>494</v>
      </c>
    </row>
    <row r="694" spans="1:1" x14ac:dyDescent="0.25">
      <c r="A694" t="s">
        <v>545</v>
      </c>
    </row>
    <row r="695" spans="1:1" x14ac:dyDescent="0.25">
      <c r="A695" t="s">
        <v>921</v>
      </c>
    </row>
    <row r="696" spans="1:1" x14ac:dyDescent="0.25">
      <c r="A696" t="s">
        <v>501</v>
      </c>
    </row>
    <row r="697" spans="1:1" x14ac:dyDescent="0.25">
      <c r="A697" t="s">
        <v>918</v>
      </c>
    </row>
    <row r="698" spans="1:1" x14ac:dyDescent="0.25">
      <c r="A698" t="s">
        <v>693</v>
      </c>
    </row>
    <row r="699" spans="1:1" x14ac:dyDescent="0.25">
      <c r="A699" t="s">
        <v>693</v>
      </c>
    </row>
    <row r="700" spans="1:1" x14ac:dyDescent="0.25">
      <c r="A700" t="s">
        <v>693</v>
      </c>
    </row>
    <row r="701" spans="1:1" x14ac:dyDescent="0.25">
      <c r="A701" t="s">
        <v>915</v>
      </c>
    </row>
    <row r="702" spans="1:1" x14ac:dyDescent="0.25">
      <c r="A702" t="s">
        <v>912</v>
      </c>
    </row>
    <row r="703" spans="1:1" x14ac:dyDescent="0.25">
      <c r="A703" t="s">
        <v>909</v>
      </c>
    </row>
    <row r="704" spans="1:1" x14ac:dyDescent="0.25">
      <c r="A704" t="s">
        <v>906</v>
      </c>
    </row>
    <row r="705" spans="1:1" x14ac:dyDescent="0.25">
      <c r="A705" t="s">
        <v>903</v>
      </c>
    </row>
    <row r="706" spans="1:1" x14ac:dyDescent="0.25">
      <c r="A706" t="s">
        <v>526</v>
      </c>
    </row>
    <row r="707" spans="1:1" x14ac:dyDescent="0.25">
      <c r="A707" t="s">
        <v>526</v>
      </c>
    </row>
    <row r="708" spans="1:1" x14ac:dyDescent="0.25">
      <c r="A708" t="s">
        <v>531</v>
      </c>
    </row>
    <row r="709" spans="1:1" x14ac:dyDescent="0.25">
      <c r="A709" t="s">
        <v>531</v>
      </c>
    </row>
    <row r="710" spans="1:1" x14ac:dyDescent="0.25">
      <c r="A710" t="s">
        <v>900</v>
      </c>
    </row>
    <row r="711" spans="1:1" x14ac:dyDescent="0.25">
      <c r="A711" t="s">
        <v>897</v>
      </c>
    </row>
    <row r="712" spans="1:1" x14ac:dyDescent="0.25">
      <c r="A712" t="s">
        <v>535</v>
      </c>
    </row>
    <row r="713" spans="1:1" x14ac:dyDescent="0.25">
      <c r="A713" t="s">
        <v>535</v>
      </c>
    </row>
    <row r="714" spans="1:1" x14ac:dyDescent="0.25">
      <c r="A714" t="s">
        <v>540</v>
      </c>
    </row>
    <row r="715" spans="1:1" x14ac:dyDescent="0.25">
      <c r="A715" t="s">
        <v>540</v>
      </c>
    </row>
    <row r="716" spans="1:1" x14ac:dyDescent="0.25">
      <c r="A716" t="s">
        <v>895</v>
      </c>
    </row>
    <row r="717" spans="1:1" x14ac:dyDescent="0.25">
      <c r="A717" t="s">
        <v>892</v>
      </c>
    </row>
    <row r="718" spans="1:1" x14ac:dyDescent="0.25">
      <c r="A718" t="s">
        <v>890</v>
      </c>
    </row>
    <row r="719" spans="1:1" x14ac:dyDescent="0.25">
      <c r="A719" t="s">
        <v>887</v>
      </c>
    </row>
    <row r="720" spans="1:1" x14ac:dyDescent="0.25">
      <c r="A720" t="s">
        <v>885</v>
      </c>
    </row>
    <row r="721" spans="1:1" x14ac:dyDescent="0.25">
      <c r="A721" t="s">
        <v>882</v>
      </c>
    </row>
    <row r="722" spans="1:1" x14ac:dyDescent="0.25">
      <c r="A722" t="s">
        <v>879</v>
      </c>
    </row>
    <row r="723" spans="1:1" x14ac:dyDescent="0.25">
      <c r="A723" t="s">
        <v>876</v>
      </c>
    </row>
    <row r="724" spans="1:1" x14ac:dyDescent="0.25">
      <c r="A724" t="s">
        <v>873</v>
      </c>
    </row>
    <row r="725" spans="1:1" x14ac:dyDescent="0.25">
      <c r="A725" t="s">
        <v>545</v>
      </c>
    </row>
    <row r="726" spans="1:1" x14ac:dyDescent="0.25">
      <c r="A726" t="s">
        <v>545</v>
      </c>
    </row>
    <row r="727" spans="1:1" x14ac:dyDescent="0.25">
      <c r="A727" t="s">
        <v>559</v>
      </c>
    </row>
    <row r="728" spans="1:1" x14ac:dyDescent="0.25">
      <c r="A728" t="s">
        <v>566</v>
      </c>
    </row>
    <row r="729" spans="1:1" x14ac:dyDescent="0.25">
      <c r="A729" t="s">
        <v>870</v>
      </c>
    </row>
    <row r="730" spans="1:1" x14ac:dyDescent="0.25">
      <c r="A730" t="s">
        <v>867</v>
      </c>
    </row>
    <row r="731" spans="1:1" x14ac:dyDescent="0.25">
      <c r="A731" t="s">
        <v>601</v>
      </c>
    </row>
    <row r="732" spans="1:1" x14ac:dyDescent="0.25">
      <c r="A732" t="s">
        <v>583</v>
      </c>
    </row>
    <row r="733" spans="1:1" x14ac:dyDescent="0.25">
      <c r="A733" t="s">
        <v>583</v>
      </c>
    </row>
    <row r="734" spans="1:1" x14ac:dyDescent="0.25">
      <c r="A734" t="s">
        <v>606</v>
      </c>
    </row>
    <row r="735" spans="1:1" x14ac:dyDescent="0.25">
      <c r="A735" t="s">
        <v>864</v>
      </c>
    </row>
    <row r="736" spans="1:1" x14ac:dyDescent="0.25">
      <c r="A736" t="s">
        <v>583</v>
      </c>
    </row>
    <row r="737" spans="1:1" x14ac:dyDescent="0.25">
      <c r="A737" t="s">
        <v>606</v>
      </c>
    </row>
    <row r="738" spans="1:1" x14ac:dyDescent="0.25">
      <c r="A738" t="s">
        <v>552</v>
      </c>
    </row>
    <row r="739" spans="1:1" x14ac:dyDescent="0.25">
      <c r="A739" t="s">
        <v>861</v>
      </c>
    </row>
    <row r="740" spans="1:1" x14ac:dyDescent="0.25">
      <c r="A740" t="s">
        <v>858</v>
      </c>
    </row>
    <row r="741" spans="1:1" x14ac:dyDescent="0.25">
      <c r="A741" t="s">
        <v>855</v>
      </c>
    </row>
    <row r="742" spans="1:1" x14ac:dyDescent="0.25">
      <c r="A742" t="s">
        <v>573</v>
      </c>
    </row>
    <row r="743" spans="1:1" x14ac:dyDescent="0.25">
      <c r="A743" t="s">
        <v>578</v>
      </c>
    </row>
    <row r="744" spans="1:1" x14ac:dyDescent="0.25">
      <c r="A744" t="s">
        <v>852</v>
      </c>
    </row>
    <row r="745" spans="1:1" x14ac:dyDescent="0.25">
      <c r="A745" t="s">
        <v>849</v>
      </c>
    </row>
    <row r="746" spans="1:1" x14ac:dyDescent="0.25">
      <c r="A746" t="s">
        <v>559</v>
      </c>
    </row>
    <row r="747" spans="1:1" x14ac:dyDescent="0.25">
      <c r="A747" t="s">
        <v>552</v>
      </c>
    </row>
    <row r="748" spans="1:1" x14ac:dyDescent="0.25">
      <c r="A748" t="s">
        <v>559</v>
      </c>
    </row>
    <row r="749" spans="1:1" x14ac:dyDescent="0.25">
      <c r="A749" t="s">
        <v>552</v>
      </c>
    </row>
    <row r="750" spans="1:1" x14ac:dyDescent="0.25">
      <c r="A750" t="s">
        <v>693</v>
      </c>
    </row>
    <row r="751" spans="1:1" x14ac:dyDescent="0.25">
      <c r="A751" t="s">
        <v>693</v>
      </c>
    </row>
    <row r="752" spans="1:1" x14ac:dyDescent="0.25">
      <c r="A752" t="s">
        <v>612</v>
      </c>
    </row>
    <row r="753" spans="1:1" x14ac:dyDescent="0.25">
      <c r="A753" t="s">
        <v>612</v>
      </c>
    </row>
    <row r="754" spans="1:1" x14ac:dyDescent="0.25">
      <c r="A754" t="s">
        <v>606</v>
      </c>
    </row>
    <row r="755" spans="1:1" x14ac:dyDescent="0.25">
      <c r="A755" t="s">
        <v>566</v>
      </c>
    </row>
    <row r="756" spans="1:1" x14ac:dyDescent="0.25">
      <c r="A756" t="s">
        <v>846</v>
      </c>
    </row>
    <row r="757" spans="1:1" x14ac:dyDescent="0.25">
      <c r="A757" t="s">
        <v>566</v>
      </c>
    </row>
    <row r="758" spans="1:1" x14ac:dyDescent="0.25">
      <c r="A758" t="s">
        <v>596</v>
      </c>
    </row>
    <row r="759" spans="1:1" x14ac:dyDescent="0.25">
      <c r="A759" t="s">
        <v>596</v>
      </c>
    </row>
    <row r="760" spans="1:1" x14ac:dyDescent="0.25">
      <c r="A760" t="s">
        <v>573</v>
      </c>
    </row>
    <row r="761" spans="1:1" x14ac:dyDescent="0.25">
      <c r="A761" t="s">
        <v>843</v>
      </c>
    </row>
    <row r="762" spans="1:1" x14ac:dyDescent="0.25">
      <c r="A762" t="s">
        <v>648</v>
      </c>
    </row>
    <row r="763" spans="1:1" x14ac:dyDescent="0.25">
      <c r="A763" t="s">
        <v>693</v>
      </c>
    </row>
    <row r="764" spans="1:1" x14ac:dyDescent="0.25">
      <c r="A764" t="s">
        <v>601</v>
      </c>
    </row>
    <row r="765" spans="1:1" x14ac:dyDescent="0.25">
      <c r="A765" t="s">
        <v>693</v>
      </c>
    </row>
    <row r="766" spans="1:1" x14ac:dyDescent="0.25">
      <c r="A766" t="s">
        <v>693</v>
      </c>
    </row>
    <row r="767" spans="1:1" x14ac:dyDescent="0.25">
      <c r="A767" t="s">
        <v>840</v>
      </c>
    </row>
    <row r="768" spans="1:1" x14ac:dyDescent="0.25">
      <c r="A768" t="s">
        <v>837</v>
      </c>
    </row>
    <row r="769" spans="1:1" x14ac:dyDescent="0.25">
      <c r="A769" t="s">
        <v>592</v>
      </c>
    </row>
    <row r="770" spans="1:1" x14ac:dyDescent="0.25">
      <c r="A770" t="s">
        <v>592</v>
      </c>
    </row>
    <row r="771" spans="1:1" x14ac:dyDescent="0.25">
      <c r="A771" t="s">
        <v>628</v>
      </c>
    </row>
    <row r="772" spans="1:1" x14ac:dyDescent="0.25">
      <c r="A772" t="s">
        <v>835</v>
      </c>
    </row>
    <row r="773" spans="1:1" x14ac:dyDescent="0.25">
      <c r="A773" t="s">
        <v>648</v>
      </c>
    </row>
    <row r="774" spans="1:1" x14ac:dyDescent="0.25">
      <c r="A774" t="s">
        <v>628</v>
      </c>
    </row>
    <row r="775" spans="1:1" x14ac:dyDescent="0.25">
      <c r="A775" t="s">
        <v>693</v>
      </c>
    </row>
    <row r="776" spans="1:1" x14ac:dyDescent="0.25">
      <c r="A776" t="s">
        <v>628</v>
      </c>
    </row>
    <row r="777" spans="1:1" x14ac:dyDescent="0.25">
      <c r="A777" t="s">
        <v>628</v>
      </c>
    </row>
    <row r="778" spans="1:1" x14ac:dyDescent="0.25">
      <c r="A778" t="s">
        <v>628</v>
      </c>
    </row>
    <row r="779" spans="1:1" x14ac:dyDescent="0.25">
      <c r="A779" t="s">
        <v>832</v>
      </c>
    </row>
    <row r="780" spans="1:1" x14ac:dyDescent="0.25">
      <c r="A780" t="s">
        <v>829</v>
      </c>
    </row>
    <row r="781" spans="1:1" x14ac:dyDescent="0.25">
      <c r="A781" t="s">
        <v>826</v>
      </c>
    </row>
    <row r="782" spans="1:1" x14ac:dyDescent="0.25">
      <c r="A782" t="s">
        <v>676</v>
      </c>
    </row>
    <row r="783" spans="1:1" x14ac:dyDescent="0.25">
      <c r="A783" t="s">
        <v>823</v>
      </c>
    </row>
    <row r="784" spans="1:1" x14ac:dyDescent="0.25">
      <c r="A784" t="s">
        <v>643</v>
      </c>
    </row>
    <row r="785" spans="1:1" x14ac:dyDescent="0.25">
      <c r="A785" t="s">
        <v>676</v>
      </c>
    </row>
    <row r="786" spans="1:1" x14ac:dyDescent="0.25">
      <c r="A786" t="s">
        <v>628</v>
      </c>
    </row>
    <row r="787" spans="1:1" x14ac:dyDescent="0.25">
      <c r="A787" t="s">
        <v>621</v>
      </c>
    </row>
    <row r="788" spans="1:1" x14ac:dyDescent="0.25">
      <c r="A788" t="s">
        <v>617</v>
      </c>
    </row>
    <row r="789" spans="1:1" x14ac:dyDescent="0.25">
      <c r="A789" t="s">
        <v>617</v>
      </c>
    </row>
    <row r="790" spans="1:1" x14ac:dyDescent="0.25">
      <c r="A790" t="s">
        <v>648</v>
      </c>
    </row>
    <row r="791" spans="1:1" x14ac:dyDescent="0.25">
      <c r="A791" t="s">
        <v>621</v>
      </c>
    </row>
    <row r="792" spans="1:1" x14ac:dyDescent="0.25">
      <c r="A792" t="s">
        <v>628</v>
      </c>
    </row>
    <row r="793" spans="1:1" x14ac:dyDescent="0.25">
      <c r="A793" t="s">
        <v>621</v>
      </c>
    </row>
    <row r="794" spans="1:1" x14ac:dyDescent="0.25">
      <c r="A794" t="s">
        <v>820</v>
      </c>
    </row>
    <row r="795" spans="1:1" x14ac:dyDescent="0.25">
      <c r="A795" t="s">
        <v>655</v>
      </c>
    </row>
    <row r="796" spans="1:1" x14ac:dyDescent="0.25">
      <c r="A796" t="s">
        <v>655</v>
      </c>
    </row>
    <row r="797" spans="1:1" x14ac:dyDescent="0.25">
      <c r="A797" t="s">
        <v>817</v>
      </c>
    </row>
    <row r="798" spans="1:1" x14ac:dyDescent="0.25">
      <c r="A798" t="s">
        <v>719</v>
      </c>
    </row>
    <row r="799" spans="1:1" x14ac:dyDescent="0.25">
      <c r="A799" t="s">
        <v>719</v>
      </c>
    </row>
    <row r="800" spans="1:1" x14ac:dyDescent="0.25">
      <c r="A800" t="s">
        <v>643</v>
      </c>
    </row>
    <row r="801" spans="1:1" x14ac:dyDescent="0.25">
      <c r="A801" t="s">
        <v>814</v>
      </c>
    </row>
    <row r="802" spans="1:1" x14ac:dyDescent="0.25">
      <c r="A802" t="s">
        <v>1189</v>
      </c>
    </row>
    <row r="803" spans="1:1" x14ac:dyDescent="0.25">
      <c r="A803" t="s">
        <v>811</v>
      </c>
    </row>
    <row r="804" spans="1:1" x14ac:dyDescent="0.25">
      <c r="A804" t="s">
        <v>660</v>
      </c>
    </row>
    <row r="805" spans="1:1" x14ac:dyDescent="0.25">
      <c r="A805" t="s">
        <v>660</v>
      </c>
    </row>
    <row r="806" spans="1:1" x14ac:dyDescent="0.25">
      <c r="A806" t="s">
        <v>665</v>
      </c>
    </row>
    <row r="807" spans="1:1" x14ac:dyDescent="0.25">
      <c r="A807" t="s">
        <v>665</v>
      </c>
    </row>
    <row r="808" spans="1:1" x14ac:dyDescent="0.25">
      <c r="A808" t="s">
        <v>665</v>
      </c>
    </row>
    <row r="809" spans="1:1" x14ac:dyDescent="0.25">
      <c r="A809" t="s">
        <v>665</v>
      </c>
    </row>
    <row r="810" spans="1:1" x14ac:dyDescent="0.25">
      <c r="A810" t="s">
        <v>665</v>
      </c>
    </row>
    <row r="811" spans="1:1" x14ac:dyDescent="0.25">
      <c r="A811" t="s">
        <v>688</v>
      </c>
    </row>
    <row r="812" spans="1:1" x14ac:dyDescent="0.25">
      <c r="A812" t="s">
        <v>688</v>
      </c>
    </row>
    <row r="813" spans="1:1" x14ac:dyDescent="0.25">
      <c r="A813" t="s">
        <v>808</v>
      </c>
    </row>
    <row r="814" spans="1:1" x14ac:dyDescent="0.25">
      <c r="A814" t="s">
        <v>805</v>
      </c>
    </row>
    <row r="815" spans="1:1" x14ac:dyDescent="0.25">
      <c r="A815" t="s">
        <v>802</v>
      </c>
    </row>
    <row r="816" spans="1:1" x14ac:dyDescent="0.25">
      <c r="A816" t="s">
        <v>714</v>
      </c>
    </row>
    <row r="817" spans="1:1" x14ac:dyDescent="0.25">
      <c r="A817" t="s">
        <v>681</v>
      </c>
    </row>
    <row r="818" spans="1:1" x14ac:dyDescent="0.25">
      <c r="A818" t="s">
        <v>681</v>
      </c>
    </row>
    <row r="819" spans="1:1" x14ac:dyDescent="0.25">
      <c r="A819" t="s">
        <v>714</v>
      </c>
    </row>
    <row r="820" spans="1:1" x14ac:dyDescent="0.25">
      <c r="A820" t="s">
        <v>681</v>
      </c>
    </row>
    <row r="821" spans="1:1" x14ac:dyDescent="0.25">
      <c r="A821" t="s">
        <v>724</v>
      </c>
    </row>
    <row r="822" spans="1:1" x14ac:dyDescent="0.25">
      <c r="A822" t="s">
        <v>724</v>
      </c>
    </row>
    <row r="823" spans="1:1" x14ac:dyDescent="0.25">
      <c r="A823" t="s">
        <v>724</v>
      </c>
    </row>
    <row r="824" spans="1:1" x14ac:dyDescent="0.25">
      <c r="A824" t="s">
        <v>724</v>
      </c>
    </row>
    <row r="825" spans="1:1" x14ac:dyDescent="0.25">
      <c r="A825" t="s">
        <v>799</v>
      </c>
    </row>
    <row r="826" spans="1:1" x14ac:dyDescent="0.25">
      <c r="A826" t="s">
        <v>796</v>
      </c>
    </row>
    <row r="827" spans="1:1" x14ac:dyDescent="0.25">
      <c r="A827" t="s">
        <v>793</v>
      </c>
    </row>
    <row r="828" spans="1:1" x14ac:dyDescent="0.25">
      <c r="A828" t="s">
        <v>790</v>
      </c>
    </row>
    <row r="829" spans="1:1" x14ac:dyDescent="0.25">
      <c r="A829" t="s">
        <v>787</v>
      </c>
    </row>
    <row r="830" spans="1:1" x14ac:dyDescent="0.25">
      <c r="A830" t="s">
        <v>733</v>
      </c>
    </row>
    <row r="831" spans="1:1" x14ac:dyDescent="0.25">
      <c r="A831" t="s">
        <v>733</v>
      </c>
    </row>
    <row r="832" spans="1:1" x14ac:dyDescent="0.25">
      <c r="A832" t="s">
        <v>784</v>
      </c>
    </row>
    <row r="833" spans="1:1" x14ac:dyDescent="0.25">
      <c r="A833" t="s">
        <v>781</v>
      </c>
    </row>
    <row r="834" spans="1:1" x14ac:dyDescent="0.25">
      <c r="A834" t="s">
        <v>778</v>
      </c>
    </row>
    <row r="835" spans="1:1" x14ac:dyDescent="0.25">
      <c r="A835" t="s">
        <v>743</v>
      </c>
    </row>
    <row r="836" spans="1:1" x14ac:dyDescent="0.25">
      <c r="A836" t="s">
        <v>775</v>
      </c>
    </row>
    <row r="837" spans="1:1" x14ac:dyDescent="0.25">
      <c r="A837" t="s">
        <v>738</v>
      </c>
    </row>
    <row r="838" spans="1:1" x14ac:dyDescent="0.25">
      <c r="A838" t="s">
        <v>738</v>
      </c>
    </row>
    <row r="839" spans="1:1" x14ac:dyDescent="0.25">
      <c r="A839" t="s">
        <v>754</v>
      </c>
    </row>
    <row r="840" spans="1:1" x14ac:dyDescent="0.25">
      <c r="A840" t="s">
        <v>748</v>
      </c>
    </row>
    <row r="841" spans="1:1" x14ac:dyDescent="0.25">
      <c r="A841" t="s">
        <v>748</v>
      </c>
    </row>
    <row r="842" spans="1:1" x14ac:dyDescent="0.25">
      <c r="A842" t="s">
        <v>743</v>
      </c>
    </row>
    <row r="843" spans="1:1" x14ac:dyDescent="0.25">
      <c r="A843" t="s">
        <v>748</v>
      </c>
    </row>
    <row r="844" spans="1:1" x14ac:dyDescent="0.25">
      <c r="A844" t="s">
        <v>772</v>
      </c>
    </row>
    <row r="845" spans="1:1" x14ac:dyDescent="0.25">
      <c r="A845" t="s">
        <v>769</v>
      </c>
    </row>
    <row r="846" spans="1:1" x14ac:dyDescent="0.25">
      <c r="A846" t="s">
        <v>766</v>
      </c>
    </row>
    <row r="847" spans="1:1" x14ac:dyDescent="0.25">
      <c r="A847" t="s">
        <v>754</v>
      </c>
    </row>
    <row r="848" spans="1:1" x14ac:dyDescent="0.25">
      <c r="A848" t="s">
        <v>754</v>
      </c>
    </row>
    <row r="849" spans="1:1" x14ac:dyDescent="0.25">
      <c r="A849" t="s">
        <v>754</v>
      </c>
    </row>
    <row r="850" spans="1:1" x14ac:dyDescent="0.25">
      <c r="A850" t="s">
        <v>763</v>
      </c>
    </row>
    <row r="851" spans="1:1" x14ac:dyDescent="0.25">
      <c r="A851" t="s">
        <v>1159</v>
      </c>
    </row>
    <row r="852" spans="1:1" x14ac:dyDescent="0.25">
      <c r="A852" t="s">
        <v>1160</v>
      </c>
    </row>
    <row r="853" spans="1:1" x14ac:dyDescent="0.25">
      <c r="A853" t="s">
        <v>1161</v>
      </c>
    </row>
    <row r="854" spans="1:1" x14ac:dyDescent="0.25">
      <c r="A854" t="s">
        <v>1169</v>
      </c>
    </row>
    <row r="855" spans="1:1" x14ac:dyDescent="0.25">
      <c r="A855" t="s">
        <v>1175</v>
      </c>
    </row>
    <row r="856" spans="1:1" x14ac:dyDescent="0.25">
      <c r="A856" t="s">
        <v>1184</v>
      </c>
    </row>
    <row r="857" spans="1:1" x14ac:dyDescent="0.25">
      <c r="A857" t="s">
        <v>1149</v>
      </c>
    </row>
    <row r="858" spans="1:1" x14ac:dyDescent="0.25">
      <c r="A858" t="s">
        <v>1155</v>
      </c>
    </row>
    <row r="859" spans="1:1" x14ac:dyDescent="0.25">
      <c r="A859" t="s">
        <v>1156</v>
      </c>
    </row>
    <row r="860" spans="1:1" x14ac:dyDescent="0.25">
      <c r="A860" t="s">
        <v>320</v>
      </c>
    </row>
    <row r="861" spans="1:1" x14ac:dyDescent="0.25">
      <c r="A861" t="s">
        <v>317</v>
      </c>
    </row>
    <row r="862" spans="1:1" x14ac:dyDescent="0.25">
      <c r="A862" t="s">
        <v>314</v>
      </c>
    </row>
    <row r="863" spans="1:1" x14ac:dyDescent="0.25">
      <c r="A863" t="s">
        <v>311</v>
      </c>
    </row>
    <row r="864" spans="1:1" x14ac:dyDescent="0.25">
      <c r="A864" t="s">
        <v>308</v>
      </c>
    </row>
    <row r="865" spans="1:1" x14ac:dyDescent="0.25">
      <c r="A865" t="s">
        <v>305</v>
      </c>
    </row>
    <row r="866" spans="1:1" x14ac:dyDescent="0.25">
      <c r="A866" t="s">
        <v>302</v>
      </c>
    </row>
    <row r="867" spans="1:1" x14ac:dyDescent="0.25">
      <c r="A867" t="s">
        <v>301</v>
      </c>
    </row>
    <row r="868" spans="1:1" x14ac:dyDescent="0.25">
      <c r="A868" t="s">
        <v>298</v>
      </c>
    </row>
    <row r="869" spans="1:1" x14ac:dyDescent="0.25">
      <c r="A869" t="s">
        <v>297</v>
      </c>
    </row>
    <row r="870" spans="1:1" x14ac:dyDescent="0.25">
      <c r="A870" t="s">
        <v>294</v>
      </c>
    </row>
    <row r="871" spans="1:1" x14ac:dyDescent="0.25">
      <c r="A871" t="s">
        <v>291</v>
      </c>
    </row>
    <row r="872" spans="1:1" x14ac:dyDescent="0.25">
      <c r="A872" t="s">
        <v>288</v>
      </c>
    </row>
    <row r="873" spans="1:1" x14ac:dyDescent="0.25">
      <c r="A873" t="s">
        <v>285</v>
      </c>
    </row>
    <row r="874" spans="1:1" x14ac:dyDescent="0.25">
      <c r="A874" t="s">
        <v>282</v>
      </c>
    </row>
    <row r="875" spans="1:1" x14ac:dyDescent="0.25">
      <c r="A875" t="s">
        <v>279</v>
      </c>
    </row>
    <row r="876" spans="1:1" x14ac:dyDescent="0.25">
      <c r="A876" t="s">
        <v>276</v>
      </c>
    </row>
    <row r="877" spans="1:1" x14ac:dyDescent="0.25">
      <c r="A877" t="s">
        <v>273</v>
      </c>
    </row>
    <row r="878" spans="1:1" x14ac:dyDescent="0.25">
      <c r="A878" t="s">
        <v>270</v>
      </c>
    </row>
    <row r="879" spans="1:1" x14ac:dyDescent="0.25">
      <c r="A879" t="s">
        <v>267</v>
      </c>
    </row>
    <row r="880" spans="1:1" x14ac:dyDescent="0.25">
      <c r="A880" t="s">
        <v>264</v>
      </c>
    </row>
    <row r="881" spans="1:1" x14ac:dyDescent="0.25">
      <c r="A881" t="s">
        <v>261</v>
      </c>
    </row>
    <row r="882" spans="1:1" x14ac:dyDescent="0.25">
      <c r="A882" t="s">
        <v>258</v>
      </c>
    </row>
    <row r="883" spans="1:1" x14ac:dyDescent="0.25">
      <c r="A883" t="s">
        <v>255</v>
      </c>
    </row>
    <row r="884" spans="1:1" x14ac:dyDescent="0.25">
      <c r="A884" t="s">
        <v>252</v>
      </c>
    </row>
    <row r="885" spans="1:1" x14ac:dyDescent="0.25">
      <c r="A885" t="s">
        <v>249</v>
      </c>
    </row>
    <row r="886" spans="1:1" x14ac:dyDescent="0.25">
      <c r="A886" t="s">
        <v>246</v>
      </c>
    </row>
    <row r="887" spans="1:1" x14ac:dyDescent="0.25">
      <c r="A887" t="s">
        <v>243</v>
      </c>
    </row>
    <row r="888" spans="1:1" x14ac:dyDescent="0.25">
      <c r="A888" t="s">
        <v>240</v>
      </c>
    </row>
    <row r="889" spans="1:1" x14ac:dyDescent="0.25">
      <c r="A889" t="s">
        <v>237</v>
      </c>
    </row>
    <row r="890" spans="1:1" x14ac:dyDescent="0.25">
      <c r="A890" t="s">
        <v>234</v>
      </c>
    </row>
    <row r="891" spans="1:1" x14ac:dyDescent="0.25">
      <c r="A891" t="s">
        <v>231</v>
      </c>
    </row>
    <row r="892" spans="1:1" x14ac:dyDescent="0.25">
      <c r="A892" t="s">
        <v>228</v>
      </c>
    </row>
    <row r="893" spans="1:1" x14ac:dyDescent="0.25">
      <c r="A893" t="s">
        <v>225</v>
      </c>
    </row>
    <row r="894" spans="1:1" x14ac:dyDescent="0.25">
      <c r="A894" t="s">
        <v>222</v>
      </c>
    </row>
    <row r="895" spans="1:1" x14ac:dyDescent="0.25">
      <c r="A895" t="s">
        <v>219</v>
      </c>
    </row>
    <row r="896" spans="1:1" x14ac:dyDescent="0.25">
      <c r="A896" t="s">
        <v>216</v>
      </c>
    </row>
    <row r="897" spans="1:1" x14ac:dyDescent="0.25">
      <c r="A897" t="s">
        <v>213</v>
      </c>
    </row>
    <row r="898" spans="1:1" x14ac:dyDescent="0.25">
      <c r="A898" t="s">
        <v>210</v>
      </c>
    </row>
    <row r="899" spans="1:1" x14ac:dyDescent="0.25">
      <c r="A899" t="s">
        <v>207</v>
      </c>
    </row>
    <row r="900" spans="1:1" x14ac:dyDescent="0.25">
      <c r="A900" t="s">
        <v>206</v>
      </c>
    </row>
    <row r="901" spans="1:1" x14ac:dyDescent="0.25">
      <c r="A901" t="s">
        <v>203</v>
      </c>
    </row>
    <row r="902" spans="1:1" x14ac:dyDescent="0.25">
      <c r="A902" t="s">
        <v>202</v>
      </c>
    </row>
    <row r="903" spans="1:1" x14ac:dyDescent="0.25">
      <c r="A903" t="s">
        <v>199</v>
      </c>
    </row>
    <row r="904" spans="1:1" x14ac:dyDescent="0.25">
      <c r="A904" t="s">
        <v>196</v>
      </c>
    </row>
    <row r="905" spans="1:1" x14ac:dyDescent="0.25">
      <c r="A905" t="s">
        <v>193</v>
      </c>
    </row>
    <row r="906" spans="1:1" x14ac:dyDescent="0.25">
      <c r="A906" t="s">
        <v>190</v>
      </c>
    </row>
    <row r="907" spans="1:1" x14ac:dyDescent="0.25">
      <c r="A907" t="s">
        <v>187</v>
      </c>
    </row>
    <row r="908" spans="1:1" x14ac:dyDescent="0.25">
      <c r="A908" t="s">
        <v>184</v>
      </c>
    </row>
    <row r="909" spans="1:1" x14ac:dyDescent="0.25">
      <c r="A909" t="s">
        <v>183</v>
      </c>
    </row>
    <row r="910" spans="1:1" x14ac:dyDescent="0.25">
      <c r="A910" t="s">
        <v>180</v>
      </c>
    </row>
    <row r="911" spans="1:1" x14ac:dyDescent="0.25">
      <c r="A911" t="s">
        <v>177</v>
      </c>
    </row>
    <row r="912" spans="1:1" x14ac:dyDescent="0.25">
      <c r="A912" t="s">
        <v>174</v>
      </c>
    </row>
    <row r="913" spans="1:1" x14ac:dyDescent="0.25">
      <c r="A913" t="s">
        <v>171</v>
      </c>
    </row>
    <row r="914" spans="1:1" x14ac:dyDescent="0.25">
      <c r="A914" t="s">
        <v>168</v>
      </c>
    </row>
    <row r="915" spans="1:1" x14ac:dyDescent="0.25">
      <c r="A915" t="s">
        <v>165</v>
      </c>
    </row>
    <row r="916" spans="1:1" x14ac:dyDescent="0.25">
      <c r="A916" t="s">
        <v>162</v>
      </c>
    </row>
    <row r="917" spans="1:1" x14ac:dyDescent="0.25">
      <c r="A917" t="s">
        <v>159</v>
      </c>
    </row>
    <row r="918" spans="1:1" x14ac:dyDescent="0.25">
      <c r="A918" t="s">
        <v>156</v>
      </c>
    </row>
    <row r="919" spans="1:1" x14ac:dyDescent="0.25">
      <c r="A919" t="s">
        <v>153</v>
      </c>
    </row>
    <row r="920" spans="1:1" x14ac:dyDescent="0.25">
      <c r="A920" t="s">
        <v>150</v>
      </c>
    </row>
    <row r="921" spans="1:1" x14ac:dyDescent="0.25">
      <c r="A921" t="s">
        <v>147</v>
      </c>
    </row>
    <row r="922" spans="1:1" x14ac:dyDescent="0.25">
      <c r="A922" t="s">
        <v>144</v>
      </c>
    </row>
    <row r="923" spans="1:1" x14ac:dyDescent="0.25">
      <c r="A923" t="s">
        <v>141</v>
      </c>
    </row>
    <row r="924" spans="1:1" x14ac:dyDescent="0.25">
      <c r="A924" t="s">
        <v>139</v>
      </c>
    </row>
    <row r="925" spans="1:1" x14ac:dyDescent="0.25">
      <c r="A925" t="s">
        <v>137</v>
      </c>
    </row>
    <row r="926" spans="1:1" x14ac:dyDescent="0.25">
      <c r="A926" t="s">
        <v>135</v>
      </c>
    </row>
    <row r="927" spans="1:1" x14ac:dyDescent="0.25">
      <c r="A927" t="s">
        <v>132</v>
      </c>
    </row>
    <row r="928" spans="1:1" x14ac:dyDescent="0.25">
      <c r="A928" t="s">
        <v>129</v>
      </c>
    </row>
    <row r="929" spans="1:1" x14ac:dyDescent="0.25">
      <c r="A929" t="s">
        <v>128</v>
      </c>
    </row>
    <row r="930" spans="1:1" x14ac:dyDescent="0.25">
      <c r="A930" t="s">
        <v>126</v>
      </c>
    </row>
    <row r="931" spans="1:1" x14ac:dyDescent="0.25">
      <c r="A931" t="s">
        <v>123</v>
      </c>
    </row>
    <row r="932" spans="1:1" x14ac:dyDescent="0.25">
      <c r="A932" t="s">
        <v>121</v>
      </c>
    </row>
    <row r="933" spans="1:1" x14ac:dyDescent="0.25">
      <c r="A933" t="s">
        <v>119</v>
      </c>
    </row>
    <row r="934" spans="1:1" x14ac:dyDescent="0.25">
      <c r="A934" t="s">
        <v>116</v>
      </c>
    </row>
    <row r="935" spans="1:1" x14ac:dyDescent="0.25">
      <c r="A935" t="s">
        <v>113</v>
      </c>
    </row>
    <row r="936" spans="1:1" x14ac:dyDescent="0.25">
      <c r="A936" t="s">
        <v>110</v>
      </c>
    </row>
    <row r="937" spans="1:1" x14ac:dyDescent="0.25">
      <c r="A937" t="s">
        <v>107</v>
      </c>
    </row>
    <row r="938" spans="1:1" x14ac:dyDescent="0.25">
      <c r="A938" t="s">
        <v>104</v>
      </c>
    </row>
    <row r="939" spans="1:1" x14ac:dyDescent="0.25">
      <c r="A939" t="s">
        <v>103</v>
      </c>
    </row>
    <row r="940" spans="1:1" x14ac:dyDescent="0.25">
      <c r="A940" t="s">
        <v>100</v>
      </c>
    </row>
    <row r="941" spans="1:1" x14ac:dyDescent="0.25">
      <c r="A941" t="s">
        <v>99</v>
      </c>
    </row>
    <row r="942" spans="1:1" x14ac:dyDescent="0.25">
      <c r="A942" t="s">
        <v>96</v>
      </c>
    </row>
    <row r="943" spans="1:1" x14ac:dyDescent="0.25">
      <c r="A943" t="s">
        <v>92</v>
      </c>
    </row>
    <row r="944" spans="1:1" x14ac:dyDescent="0.25">
      <c r="A944" t="s">
        <v>89</v>
      </c>
    </row>
    <row r="945" spans="1:1" x14ac:dyDescent="0.25">
      <c r="A945" t="s">
        <v>86</v>
      </c>
    </row>
    <row r="946" spans="1:1" x14ac:dyDescent="0.25">
      <c r="A946" t="s">
        <v>83</v>
      </c>
    </row>
    <row r="947" spans="1:1" x14ac:dyDescent="0.25">
      <c r="A947" t="s">
        <v>80</v>
      </c>
    </row>
    <row r="948" spans="1:1" x14ac:dyDescent="0.25">
      <c r="A948" t="s">
        <v>77</v>
      </c>
    </row>
    <row r="949" spans="1:1" x14ac:dyDescent="0.25">
      <c r="A949" t="s">
        <v>74</v>
      </c>
    </row>
    <row r="950" spans="1:1" x14ac:dyDescent="0.25">
      <c r="A950" t="s">
        <v>71</v>
      </c>
    </row>
    <row r="951" spans="1:1" x14ac:dyDescent="0.25">
      <c r="A951" t="s">
        <v>68</v>
      </c>
    </row>
    <row r="952" spans="1:1" x14ac:dyDescent="0.25">
      <c r="A952" t="s">
        <v>65</v>
      </c>
    </row>
    <row r="953" spans="1:1" x14ac:dyDescent="0.25">
      <c r="A953" t="s">
        <v>62</v>
      </c>
    </row>
    <row r="954" spans="1:1" x14ac:dyDescent="0.25">
      <c r="A954" t="s">
        <v>59</v>
      </c>
    </row>
    <row r="955" spans="1:1" x14ac:dyDescent="0.25">
      <c r="A955" t="s">
        <v>56</v>
      </c>
    </row>
    <row r="956" spans="1:1" x14ac:dyDescent="0.25">
      <c r="A956" t="s">
        <v>53</v>
      </c>
    </row>
    <row r="957" spans="1:1" x14ac:dyDescent="0.25">
      <c r="A957" t="s">
        <v>50</v>
      </c>
    </row>
    <row r="958" spans="1:1" x14ac:dyDescent="0.25">
      <c r="A958" t="s">
        <v>47</v>
      </c>
    </row>
    <row r="959" spans="1:1" x14ac:dyDescent="0.25">
      <c r="A959" t="s">
        <v>44</v>
      </c>
    </row>
    <row r="960" spans="1:1" x14ac:dyDescent="0.25">
      <c r="A960" t="s">
        <v>43</v>
      </c>
    </row>
    <row r="961" spans="1:1" x14ac:dyDescent="0.25">
      <c r="A961" t="s">
        <v>40</v>
      </c>
    </row>
    <row r="962" spans="1:1" x14ac:dyDescent="0.25">
      <c r="A962" t="s">
        <v>37</v>
      </c>
    </row>
    <row r="963" spans="1:1" x14ac:dyDescent="0.25">
      <c r="A963" t="s">
        <v>34</v>
      </c>
    </row>
    <row r="964" spans="1:1" x14ac:dyDescent="0.25">
      <c r="A964" t="s">
        <v>32</v>
      </c>
    </row>
    <row r="965" spans="1:1" x14ac:dyDescent="0.25">
      <c r="A965" t="s">
        <v>29</v>
      </c>
    </row>
    <row r="966" spans="1:1" x14ac:dyDescent="0.25">
      <c r="A966" t="s">
        <v>26</v>
      </c>
    </row>
    <row r="967" spans="1:1" x14ac:dyDescent="0.25">
      <c r="A967" t="s">
        <v>23</v>
      </c>
    </row>
    <row r="968" spans="1:1" x14ac:dyDescent="0.25">
      <c r="A968" t="s">
        <v>20</v>
      </c>
    </row>
    <row r="969" spans="1:1" x14ac:dyDescent="0.25">
      <c r="A969" t="s">
        <v>17</v>
      </c>
    </row>
    <row r="970" spans="1:1" x14ac:dyDescent="0.25">
      <c r="A970" t="s">
        <v>14</v>
      </c>
    </row>
    <row r="971" spans="1:1" x14ac:dyDescent="0.25">
      <c r="A971" t="s">
        <v>10</v>
      </c>
    </row>
  </sheetData>
  <phoneticPr fontId="8" type="noConversion"/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MATERIALS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Desho</dc:creator>
  <cp:lastModifiedBy>Mostafa Desho</cp:lastModifiedBy>
  <dcterms:created xsi:type="dcterms:W3CDTF">2025-11-10T15:54:46Z</dcterms:created>
  <dcterms:modified xsi:type="dcterms:W3CDTF">2026-01-13T10:00:10Z</dcterms:modified>
</cp:coreProperties>
</file>